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asanna\Personal\Learning\Other Reads\GL\Course Material\SMDM\RProjects\SMDM\"/>
    </mc:Choice>
  </mc:AlternateContent>
  <xr:revisionPtr revIDLastSave="0" documentId="13_ncr:1_{319ED3FF-BA1C-47D7-85F0-89BC6CE8F355}" xr6:coauthVersionLast="36" xr6:coauthVersionMax="36" xr10:uidLastSave="{00000000-0000-0000-0000-000000000000}"/>
  <bookViews>
    <workbookView xWindow="0" yWindow="0" windowWidth="19200" windowHeight="6930" activeTab="2" xr2:uid="{CAFE1CAE-3FBB-45F2-95C7-7817835606B8}"/>
  </bookViews>
  <sheets>
    <sheet name="Binomial Distribution" sheetId="1" r:id="rId1"/>
    <sheet name="Poisson Distribution" sheetId="2" r:id="rId2"/>
    <sheet name="Normal Distribution" sheetId="3" r:id="rId3"/>
  </sheets>
  <definedNames>
    <definedName name="_xlchart.v1.0" hidden="1">'Poisson Distribution'!$B$4</definedName>
    <definedName name="_xlchart.v1.1" hidden="1">'Poisson Distribution'!$B$5:$B$15</definedName>
    <definedName name="_xlchart.v1.10" hidden="1">'Poisson Distribution'!$D$4</definedName>
    <definedName name="_xlchart.v1.11" hidden="1">'Poisson Distribution'!$D$5:$D$15</definedName>
    <definedName name="_xlchart.v1.2" hidden="1">'Poisson Distribution'!$C$4</definedName>
    <definedName name="_xlchart.v1.3" hidden="1">'Poisson Distribution'!$C$5:$C$15</definedName>
    <definedName name="_xlchart.v1.4" hidden="1">'Poisson Distribution'!$D$4</definedName>
    <definedName name="_xlchart.v1.5" hidden="1">'Poisson Distribution'!$D$5:$D$15</definedName>
    <definedName name="_xlchart.v1.6" hidden="1">'Poisson Distribution'!$B$4</definedName>
    <definedName name="_xlchart.v1.7" hidden="1">'Poisson Distribution'!$B$5:$B$15</definedName>
    <definedName name="_xlchart.v1.8" hidden="1">'Poisson Distribution'!$C$4</definedName>
    <definedName name="_xlchart.v1.9" hidden="1">'Poisson Distribution'!$C$5:$C$15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4" i="3" l="1"/>
  <c r="F14" i="3"/>
  <c r="F13" i="3"/>
  <c r="A13" i="3"/>
  <c r="A7" i="3"/>
  <c r="A6" i="3"/>
  <c r="F6" i="3"/>
  <c r="F1" i="3"/>
  <c r="A3" i="3"/>
  <c r="A2" i="3"/>
  <c r="D13" i="2"/>
  <c r="D14" i="2"/>
  <c r="D15" i="2"/>
  <c r="C13" i="2"/>
  <c r="C14" i="2"/>
  <c r="C15" i="2"/>
  <c r="E8" i="2"/>
  <c r="D6" i="2"/>
  <c r="D7" i="2"/>
  <c r="D8" i="2"/>
  <c r="D9" i="2"/>
  <c r="D10" i="2"/>
  <c r="D11" i="2"/>
  <c r="D12" i="2"/>
  <c r="D5" i="2"/>
  <c r="C6" i="2"/>
  <c r="C7" i="2"/>
  <c r="C8" i="2"/>
  <c r="C9" i="2"/>
  <c r="C10" i="2"/>
  <c r="C11" i="2"/>
  <c r="C12" i="2"/>
  <c r="C5" i="2"/>
  <c r="B18" i="1" l="1"/>
  <c r="B16" i="1"/>
  <c r="C5" i="1"/>
  <c r="C6" i="1"/>
  <c r="C7" i="1"/>
  <c r="C8" i="1"/>
  <c r="C9" i="1"/>
  <c r="C10" i="1"/>
  <c r="C11" i="1"/>
  <c r="C4" i="1"/>
  <c r="B5" i="1" l="1"/>
  <c r="B6" i="1"/>
  <c r="B7" i="1"/>
  <c r="B8" i="1"/>
  <c r="B9" i="1"/>
  <c r="B10" i="1"/>
  <c r="B11" i="1"/>
  <c r="B4" i="1"/>
</calcChain>
</file>

<file path=xl/sharedStrings.xml><?xml version="1.0" encoding="utf-8"?>
<sst xmlns="http://schemas.openxmlformats.org/spreadsheetml/2006/main" count="23" uniqueCount="15">
  <si>
    <t>x</t>
  </si>
  <si>
    <t>Probablility</t>
  </si>
  <si>
    <t>Probability Cumulative</t>
  </si>
  <si>
    <t>Poissson</t>
  </si>
  <si>
    <t>P(X = 4)</t>
  </si>
  <si>
    <t>P(X &gt; 3) = 1-P(X&lt;=3)</t>
  </si>
  <si>
    <t>1-[P(X&lt;3) = P (X=0) + P(X=1) +P(X =2) + P(X=3)]</t>
  </si>
  <si>
    <t xml:space="preserve">Probability Cumulative </t>
  </si>
  <si>
    <t>P(X&gt;=3)= 1-P(X=0+ X=1+ X=2+ X=3)</t>
  </si>
  <si>
    <r>
      <t>x-</t>
    </r>
    <r>
      <rPr>
        <sz val="11"/>
        <color theme="1"/>
        <rFont val="Calibri"/>
        <family val="2"/>
      </rPr>
      <t>µ/σ</t>
    </r>
  </si>
  <si>
    <t>x1</t>
  </si>
  <si>
    <t>x2</t>
  </si>
  <si>
    <t>x3</t>
  </si>
  <si>
    <t>0.26 To 0.34</t>
  </si>
  <si>
    <t>x4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</si>
</sst>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1" fillId="0" borderId="1" xfId="0" applyFont="1" applyBorder="1"/>
    <xf numFmtId="0" fontId="1" fillId="0" borderId="1" xfId="0" applyFont="1" applyBorder="1" applyAlignment="1">
      <alignment horizontal="right" vertical="top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'Binomial Distribution'!$B$3</c:f>
              <c:strCache>
                <c:ptCount val="1"/>
                <c:pt idx="0">
                  <c:v>Probablility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'Binomial Distribution'!$A$4:$A$11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'Binomial Distribution'!$B$4:$B$11</c:f>
              <c:numCache>
                <c:formatCode>General</c:formatCode>
                <c:ptCount val="8"/>
                <c:pt idx="0">
                  <c:v>1.638400000000001E-3</c:v>
                </c:pt>
                <c:pt idx="1">
                  <c:v>1.7203199999999991E-2</c:v>
                </c:pt>
                <c:pt idx="2">
                  <c:v>7.7414400000000008E-2</c:v>
                </c:pt>
                <c:pt idx="3">
                  <c:v>0.19353600000000004</c:v>
                </c:pt>
                <c:pt idx="4">
                  <c:v>0.29030400000000001</c:v>
                </c:pt>
                <c:pt idx="5">
                  <c:v>0.26127359999999999</c:v>
                </c:pt>
                <c:pt idx="6">
                  <c:v>0.1306368</c:v>
                </c:pt>
                <c:pt idx="7">
                  <c:v>2.7993599999999987E-2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2-42BA-A1DA-E825BC5E1B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7746496"/>
        <c:axId val="474737640"/>
      </c:barChart>
      <c:catAx>
        <c:axId val="46774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37640"/>
        <c:crosses val="autoZero"/>
        <c:auto val="1"/>
        <c:lblAlgn val="ctr"/>
        <c:lblOffset val="100"/>
        <c:noMultiLvlLbl val="0"/>
      </c:catAx>
      <c:valAx>
        <c:axId val="47473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4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Binomial</a:t>
            </a:r>
            <a:r>
              <a:rPr lang="en-US" baseline="0"/>
              <a:t> Distribution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'Binomial Distribution'!$B$3</c:f>
              <c:strCache>
                <c:ptCount val="1"/>
                <c:pt idx="0">
                  <c:v>Probablility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'Binomial Distribution'!$A$4:$A$11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'Binomial Distribution'!$B$4:$B$11</c:f>
              <c:numCache>
                <c:formatCode>General</c:formatCode>
                <c:ptCount val="8"/>
                <c:pt idx="0">
                  <c:v>1.638400000000001E-3</c:v>
                </c:pt>
                <c:pt idx="1">
                  <c:v>1.7203199999999991E-2</c:v>
                </c:pt>
                <c:pt idx="2">
                  <c:v>7.7414400000000008E-2</c:v>
                </c:pt>
                <c:pt idx="3">
                  <c:v>0.19353600000000004</c:v>
                </c:pt>
                <c:pt idx="4">
                  <c:v>0.29030400000000001</c:v>
                </c:pt>
                <c:pt idx="5">
                  <c:v>0.26127359999999999</c:v>
                </c:pt>
                <c:pt idx="6">
                  <c:v>0.1306368</c:v>
                </c:pt>
                <c:pt idx="7">
                  <c:v>2.7993599999999987E-2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7BC-A29A-14ED6DF5D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119304"/>
        <c:axId val="607116352"/>
      </c:lineChart>
      <c:lineChart>
        <c:grouping val="standard"/>
        <c:varyColors val="0"/>
        <c:ser>
          <c:idx val="1"/>
          <c:order val="1"/>
          <c:tx>
            <c:strRef>
              <c:f>'Binomial Distribution'!$C$3</c:f>
              <c:strCache>
                <c:ptCount val="1"/>
                <c:pt idx="0">
                  <c:v>Probability Cumulative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'Binomial Distribution'!$A$4:$A$11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'Binomial Distribution'!$C$4:$C$11</c:f>
              <c:numCache>
                <c:formatCode>General</c:formatCode>
                <c:ptCount val="8"/>
                <c:pt idx="0">
                  <c:v>1.638400000000001E-3</c:v>
                </c:pt>
                <c:pt idx="1">
                  <c:v>1.884160000000001E-2</c:v>
                </c:pt>
                <c:pt idx="2">
                  <c:v>9.6256000000000036E-2</c:v>
                </c:pt>
                <c:pt idx="3">
                  <c:v>0.28979200000000005</c:v>
                </c:pt>
                <c:pt idx="4">
                  <c:v>0.58009600000000017</c:v>
                </c:pt>
                <c:pt idx="5">
                  <c:v>0.84136960000000005</c:v>
                </c:pt>
                <c:pt idx="6">
                  <c:v>0.97200639999999994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3-47BC-A29A-14ED6DF5D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63048"/>
        <c:axId val="598966328"/>
      </c:lineChart>
      <c:catAx>
        <c:axId val="607119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116352"/>
        <c:crosses val="autoZero"/>
        <c:auto val="1"/>
        <c:lblAlgn val="ctr"/>
        <c:lblOffset val="100"/>
        <c:noMultiLvlLbl val="0"/>
      </c:catAx>
      <c:valAx>
        <c:axId val="6071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119304"/>
        <c:crosses val="autoZero"/>
        <c:crossBetween val="between"/>
      </c:valAx>
      <c:valAx>
        <c:axId val="5989663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63048"/>
        <c:crosses val="max"/>
        <c:crossBetween val="between"/>
      </c:valAx>
      <c:catAx>
        <c:axId val="598963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89663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664260717410319E-2"/>
          <c:y val="0.1244160583941606"/>
          <c:w val="0.88389129483814521"/>
          <c:h val="0.77996982585206043"/>
        </c:manualLayout>
      </c:layout>
      <c:lineChart>
        <c:grouping val="standard"/>
        <c:varyColors val="0"/>
        <c:ser>
          <c:idx val="0"/>
          <c:order val="0"/>
          <c:tx>
            <c:strRef>
              <c:f>'Poisson Distribution'!$C$4</c:f>
              <c:strCache>
                <c:ptCount val="1"/>
                <c:pt idx="0">
                  <c:v>Probablility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'Poisson Distribution'!$B$5:$B$15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'Poisson Distribution'!$C$5:$C$15</c:f>
              <c:numCache>
                <c:formatCode>General</c:formatCode>
                <c:ptCount val="11"/>
                <c:pt idx="0">
                  <c:v>4.9787068367863944E-2</c:v>
                </c:pt>
                <c:pt idx="1">
                  <c:v>0.14936120510359185</c:v>
                </c:pt>
                <c:pt idx="2">
                  <c:v>0.22404180765538775</c:v>
                </c:pt>
                <c:pt idx="3">
                  <c:v>0.22404180765538778</c:v>
                </c:pt>
                <c:pt idx="4">
                  <c:v>0.16803135574154085</c:v>
                </c:pt>
                <c:pt idx="5">
                  <c:v>0.10081881344492449</c:v>
                </c:pt>
                <c:pt idx="6">
                  <c:v>5.0409406722462261E-2</c:v>
                </c:pt>
                <c:pt idx="7">
                  <c:v>2.1604031452483807E-2</c:v>
                </c:pt>
                <c:pt idx="8">
                  <c:v>8.1015117946814375E-3</c:v>
                </c:pt>
                <c:pt idx="9">
                  <c:v>2.7005039315604771E-3</c:v>
                </c:pt>
                <c:pt idx="10">
                  <c:v>8.1015117946814244E-4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E-4683-937E-7D8F7CBD5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32848"/>
        <c:axId val="487633176"/>
      </c:lineChart>
      <c:lineChart>
        <c:grouping val="standard"/>
        <c:varyColors val="0"/>
        <c:ser>
          <c:idx val="1"/>
          <c:order val="1"/>
          <c:tx>
            <c:strRef>
              <c:f>'Poisson Distribution'!$D$4</c:f>
              <c:strCache>
                <c:ptCount val="1"/>
                <c:pt idx="0">
                  <c:v>Probability Cumulative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'Poisson Distribution'!$B$5:$B$15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'Poisson Distribution'!$D$5:$D$15</c:f>
              <c:numCache>
                <c:formatCode>General</c:formatCode>
                <c:ptCount val="11"/>
                <c:pt idx="0">
                  <c:v>4.9787068367863944E-2</c:v>
                </c:pt>
                <c:pt idx="1">
                  <c:v>0.19914827347145578</c:v>
                </c:pt>
                <c:pt idx="2">
                  <c:v>0.42319008112684342</c:v>
                </c:pt>
                <c:pt idx="3">
                  <c:v>0.64723188878223126</c:v>
                </c:pt>
                <c:pt idx="4">
                  <c:v>0.81526324452377208</c:v>
                </c:pt>
                <c:pt idx="5">
                  <c:v>0.91608205796869657</c:v>
                </c:pt>
                <c:pt idx="6">
                  <c:v>0.96649146469115887</c:v>
                </c:pt>
                <c:pt idx="7">
                  <c:v>0.98809549614364256</c:v>
                </c:pt>
                <c:pt idx="8">
                  <c:v>0.996197007938324</c:v>
                </c:pt>
                <c:pt idx="9">
                  <c:v>0.99889751186988451</c:v>
                </c:pt>
                <c:pt idx="10">
                  <c:v>0.99970766304935266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ADE-4683-937E-7D8F7CBD5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18064"/>
        <c:axId val="602260048"/>
      </c:lineChart>
      <c:catAx>
        <c:axId val="48763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33176"/>
        <c:crosses val="autoZero"/>
        <c:auto val="1"/>
        <c:lblAlgn val="ctr"/>
        <c:lblOffset val="100"/>
        <c:noMultiLvlLbl val="0"/>
      </c:catAx>
      <c:valAx>
        <c:axId val="48763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32848"/>
        <c:crosses val="autoZero"/>
        <c:crossBetween val="between"/>
      </c:valAx>
      <c:valAx>
        <c:axId val="6022600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18064"/>
        <c:crosses val="max"/>
        <c:crossBetween val="between"/>
      </c:valAx>
      <c:catAx>
        <c:axId val="48711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22600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434975</xdr:colOff>
      <xdr:row>2</xdr:row>
      <xdr:rowOff>88900</xdr:rowOff>
    </xdr:from>
    <xdr:to>
      <xdr:col>12</xdr:col>
      <xdr:colOff>130175</xdr:colOff>
      <xdr:row>17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F0A6BC-38F0-4D3F-905D-FD9517251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409575</xdr:colOff>
      <xdr:row>17</xdr:row>
      <xdr:rowOff>317500</xdr:rowOff>
    </xdr:from>
    <xdr:to>
      <xdr:col>12</xdr:col>
      <xdr:colOff>104775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46255D-D457-4059-AF41-681FD78FE8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454025</xdr:colOff>
      <xdr:row>0</xdr:row>
      <xdr:rowOff>171450</xdr:rowOff>
    </xdr:from>
    <xdr:to>
      <xdr:col>14</xdr:col>
      <xdr:colOff>149225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78B7E1-75DB-4DF5-A09A-A010332B7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2D56F-8AF0-4B37-A7CC-76F97EAA65D8}">
  <dimension ref="A3:C20"/>
  <sheetViews>
    <sheetView workbookViewId="0">
      <selection activeCell="D20" sqref="D20"/>
    </sheetView>
  </sheetViews>
  <sheetFormatPr defaultRowHeight="14.5" x14ac:dyDescent="0.35"/>
  <cols>
    <col min="1" max="2" width="18.81640625" customWidth="1"/>
    <col min="3" max="3" width="20.7265625" customWidth="1"/>
  </cols>
  <sheetData>
    <row r="3" spans="1:3" x14ac:dyDescent="0.35">
      <c r="A3" s="5" t="s">
        <v>0</v>
      </c>
      <c r="B3" s="4" t="s">
        <v>1</v>
      </c>
      <c r="C3" s="4" t="s">
        <v>2</v>
      </c>
    </row>
    <row r="4" spans="1:3" x14ac:dyDescent="0.35">
      <c r="A4" s="1">
        <v>0</v>
      </c>
      <c r="B4" s="1">
        <f>_xlfn.BINOM.DIST(A4, 7,0.6, FALSE)</f>
        <v>1.638400000000001E-3</v>
      </c>
      <c r="C4" s="1">
        <f>_xlfn.BINOM.DIST(A4, 7,0.6, TRUE)</f>
        <v>1.638400000000001E-3</v>
      </c>
    </row>
    <row r="5" spans="1:3" x14ac:dyDescent="0.35">
      <c r="A5" s="1">
        <v>1</v>
      </c>
      <c r="B5" s="1">
        <f t="shared" ref="B5:B11" si="0">_xlfn.BINOM.DIST(A5, 7,0.6, FALSE)</f>
        <v>1.7203199999999991E-2</v>
      </c>
      <c r="C5" s="1">
        <f t="shared" ref="C5:C11" si="1">_xlfn.BINOM.DIST(A5, 7,0.6, TRUE)</f>
        <v>1.884160000000001E-2</v>
      </c>
    </row>
    <row r="6" spans="1:3" x14ac:dyDescent="0.35">
      <c r="A6" s="1">
        <v>2</v>
      </c>
      <c r="B6" s="1">
        <f t="shared" si="0"/>
        <v>7.7414400000000008E-2</v>
      </c>
      <c r="C6" s="1">
        <f t="shared" si="1"/>
        <v>9.6256000000000036E-2</v>
      </c>
    </row>
    <row r="7" spans="1:3" x14ac:dyDescent="0.35">
      <c r="A7" s="1">
        <v>3</v>
      </c>
      <c r="B7" s="1">
        <f t="shared" si="0"/>
        <v>0.19353600000000004</v>
      </c>
      <c r="C7" s="1">
        <f t="shared" si="1"/>
        <v>0.28979200000000005</v>
      </c>
    </row>
    <row r="8" spans="1:3" x14ac:dyDescent="0.35">
      <c r="A8" s="1">
        <v>4</v>
      </c>
      <c r="B8" s="1">
        <f t="shared" si="0"/>
        <v>0.29030400000000001</v>
      </c>
      <c r="C8" s="1">
        <f t="shared" si="1"/>
        <v>0.58009600000000017</v>
      </c>
    </row>
    <row r="9" spans="1:3" x14ac:dyDescent="0.35">
      <c r="A9" s="1">
        <v>5</v>
      </c>
      <c r="B9" s="1">
        <f t="shared" si="0"/>
        <v>0.26127359999999999</v>
      </c>
      <c r="C9" s="1">
        <f t="shared" si="1"/>
        <v>0.84136960000000005</v>
      </c>
    </row>
    <row r="10" spans="1:3" x14ac:dyDescent="0.35">
      <c r="A10" s="1">
        <v>6</v>
      </c>
      <c r="B10" s="1">
        <f t="shared" si="0"/>
        <v>0.1306368</v>
      </c>
      <c r="C10" s="1">
        <f t="shared" si="1"/>
        <v>0.97200639999999994</v>
      </c>
    </row>
    <row r="11" spans="1:3" x14ac:dyDescent="0.35">
      <c r="A11" s="1">
        <v>7</v>
      </c>
      <c r="B11" s="1">
        <f t="shared" si="0"/>
        <v>2.7993599999999987E-2</v>
      </c>
      <c r="C11" s="1">
        <f t="shared" si="1"/>
        <v>1</v>
      </c>
    </row>
    <row r="12" spans="1:3" x14ac:dyDescent="0.35">
      <c r="A12" s="2"/>
      <c r="B12" s="2"/>
    </row>
    <row r="13" spans="1:3" x14ac:dyDescent="0.35">
      <c r="A13" s="2"/>
      <c r="B13" s="2"/>
    </row>
    <row r="14" spans="1:3" x14ac:dyDescent="0.35">
      <c r="A14" s="2" t="s">
        <v>3</v>
      </c>
      <c r="B14" s="2"/>
    </row>
    <row r="15" spans="1:3" x14ac:dyDescent="0.35">
      <c r="A15" s="2"/>
      <c r="B15" s="2"/>
    </row>
    <row r="16" spans="1:3" x14ac:dyDescent="0.35">
      <c r="A16" t="s">
        <v>4</v>
      </c>
      <c r="B16" s="2">
        <f>_xlfn.POISSON.DIST(4,3,0)</f>
        <v>0.16803135574154085</v>
      </c>
    </row>
    <row r="17" spans="1:2" x14ac:dyDescent="0.35">
      <c r="A17" s="2" t="s">
        <v>5</v>
      </c>
      <c r="B17" s="2"/>
    </row>
    <row r="18" spans="1:2" ht="43.5" x14ac:dyDescent="0.35">
      <c r="A18" s="3" t="s">
        <v>6</v>
      </c>
      <c r="B18" s="2">
        <f>1-_xlfn.POISSON.DIST(3,3,TRUE)</f>
        <v>0.35276811121776874</v>
      </c>
    </row>
    <row r="19" spans="1:2" x14ac:dyDescent="0.35">
      <c r="A19" s="2"/>
      <c r="B19" s="2"/>
    </row>
    <row r="20" spans="1:2" x14ac:dyDescent="0.35">
      <c r="A20" s="2"/>
      <c r="B20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8176-6D94-4C5C-BD23-72B23918D55C}">
  <dimension ref="B4:F15"/>
  <sheetViews>
    <sheetView workbookViewId="0">
      <selection activeCell="F8" sqref="F8"/>
    </sheetView>
  </sheetViews>
  <sheetFormatPr defaultRowHeight="14.5" x14ac:dyDescent="0.35"/>
  <cols>
    <col min="2" max="3" width="18.81640625" customWidth="1"/>
    <col min="4" max="4" width="20.1796875" bestFit="1" customWidth="1"/>
  </cols>
  <sheetData>
    <row r="4" spans="2:6" x14ac:dyDescent="0.35">
      <c r="B4" s="5" t="s">
        <v>0</v>
      </c>
      <c r="C4" s="4" t="s">
        <v>1</v>
      </c>
      <c r="D4" s="4" t="s">
        <v>7</v>
      </c>
    </row>
    <row r="5" spans="2:6" x14ac:dyDescent="0.35">
      <c r="B5" s="1">
        <v>0</v>
      </c>
      <c r="C5" s="1">
        <f>_xlfn.POISSON.DIST(B5,3,FALSE)</f>
        <v>4.9787068367863944E-2</v>
      </c>
      <c r="D5" s="1">
        <f>_xlfn.POISSON.DIST(B5,3,TRUE)</f>
        <v>4.9787068367863944E-2</v>
      </c>
    </row>
    <row r="6" spans="2:6" x14ac:dyDescent="0.35">
      <c r="B6" s="1">
        <v>1</v>
      </c>
      <c r="C6" s="1">
        <f t="shared" ref="C6:C15" si="0">_xlfn.POISSON.DIST(B6,3,FALSE)</f>
        <v>0.14936120510359185</v>
      </c>
      <c r="D6" s="1">
        <f t="shared" ref="D6:D15" si="1">_xlfn.POISSON.DIST(B6,3,TRUE)</f>
        <v>0.19914827347145578</v>
      </c>
    </row>
    <row r="7" spans="2:6" x14ac:dyDescent="0.35">
      <c r="B7" s="1">
        <v>2</v>
      </c>
      <c r="C7" s="1">
        <f t="shared" si="0"/>
        <v>0.22404180765538775</v>
      </c>
      <c r="D7" s="1">
        <f t="shared" si="1"/>
        <v>0.42319008112684342</v>
      </c>
    </row>
    <row r="8" spans="2:6" ht="72.5" x14ac:dyDescent="0.35">
      <c r="B8" s="1">
        <v>3</v>
      </c>
      <c r="C8" s="1">
        <f t="shared" si="0"/>
        <v>0.22404180765538778</v>
      </c>
      <c r="D8" s="1">
        <f t="shared" si="1"/>
        <v>0.64723188878223126</v>
      </c>
      <c r="E8">
        <f>1-D8</f>
        <v>0.35276811121776874</v>
      </c>
      <c r="F8" s="6" t="s">
        <v>8</v>
      </c>
    </row>
    <row r="9" spans="2:6" x14ac:dyDescent="0.35">
      <c r="B9" s="1">
        <v>4</v>
      </c>
      <c r="C9" s="1">
        <f t="shared" si="0"/>
        <v>0.16803135574154085</v>
      </c>
      <c r="D9" s="1">
        <f t="shared" si="1"/>
        <v>0.81526324452377208</v>
      </c>
    </row>
    <row r="10" spans="2:6" x14ac:dyDescent="0.35">
      <c r="B10" s="1">
        <v>5</v>
      </c>
      <c r="C10" s="1">
        <f t="shared" si="0"/>
        <v>0.10081881344492449</v>
      </c>
      <c r="D10" s="1">
        <f t="shared" si="1"/>
        <v>0.91608205796869657</v>
      </c>
    </row>
    <row r="11" spans="2:6" x14ac:dyDescent="0.35">
      <c r="B11" s="1">
        <v>6</v>
      </c>
      <c r="C11" s="1">
        <f t="shared" si="0"/>
        <v>5.0409406722462261E-2</v>
      </c>
      <c r="D11" s="1">
        <f t="shared" si="1"/>
        <v>0.96649146469115887</v>
      </c>
    </row>
    <row r="12" spans="2:6" x14ac:dyDescent="0.35">
      <c r="B12" s="1">
        <v>7</v>
      </c>
      <c r="C12" s="1">
        <f t="shared" si="0"/>
        <v>2.1604031452483807E-2</v>
      </c>
      <c r="D12" s="1">
        <f t="shared" si="1"/>
        <v>0.98809549614364256</v>
      </c>
    </row>
    <row r="13" spans="2:6" x14ac:dyDescent="0.35">
      <c r="B13" s="1">
        <v>8</v>
      </c>
      <c r="C13" s="1">
        <f t="shared" si="0"/>
        <v>8.1015117946814375E-3</v>
      </c>
      <c r="D13" s="1">
        <f t="shared" si="1"/>
        <v>0.996197007938324</v>
      </c>
    </row>
    <row r="14" spans="2:6" x14ac:dyDescent="0.35">
      <c r="B14" s="1">
        <v>9</v>
      </c>
      <c r="C14" s="1">
        <f t="shared" si="0"/>
        <v>2.7005039315604771E-3</v>
      </c>
      <c r="D14" s="1">
        <f t="shared" si="1"/>
        <v>0.99889751186988451</v>
      </c>
    </row>
    <row r="15" spans="2:6" x14ac:dyDescent="0.35">
      <c r="B15" s="1">
        <v>10</v>
      </c>
      <c r="C15" s="1">
        <f t="shared" si="0"/>
        <v>8.1015117946814244E-4</v>
      </c>
      <c r="D15" s="1">
        <f t="shared" si="1"/>
        <v>0.99970766304935266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7547-75F0-427A-A56F-2620E5C8938E}">
  <dimension ref="A1:F14"/>
  <sheetViews>
    <sheetView tabSelected="1" workbookViewId="0">
      <selection activeCell="A15" sqref="A15"/>
    </sheetView>
  </sheetViews>
  <sheetFormatPr defaultRowHeight="14.5" x14ac:dyDescent="0.35"/>
  <sheetData>
    <row r="1" spans="1:6" x14ac:dyDescent="0.35">
      <c r="A1" t="s">
        <v>10</v>
      </c>
      <c r="D1" t="s">
        <v>10</v>
      </c>
      <c r="E1" t="s">
        <v>9</v>
      </c>
      <c r="F1">
        <f>(0.28-0.295)/0.025</f>
        <v>-0.59999999999999831</v>
      </c>
    </row>
    <row r="2" spans="1:6" x14ac:dyDescent="0.35">
      <c r="A2">
        <f>_xlfn.NORM.DIST(0.28,0.295,0.025,1)</f>
        <v>0.2742531177500741</v>
      </c>
    </row>
    <row r="3" spans="1:6" x14ac:dyDescent="0.35">
      <c r="A3">
        <f>_xlfn.NORM.S.DIST(-0.6,1)</f>
        <v>0.27425311775007355</v>
      </c>
    </row>
    <row r="5" spans="1:6" x14ac:dyDescent="0.35">
      <c r="A5" t="s">
        <v>11</v>
      </c>
    </row>
    <row r="6" spans="1:6" x14ac:dyDescent="0.35">
      <c r="A6">
        <f>1-_xlfn.NORM.DIST(0.35,0.295,0.025,1)</f>
        <v>1.390344751349859E-2</v>
      </c>
      <c r="D6" t="s">
        <v>11</v>
      </c>
      <c r="E6" t="s">
        <v>9</v>
      </c>
      <c r="F6">
        <f>(0.35-0.295)/0.025</f>
        <v>2.1999999999999997</v>
      </c>
    </row>
    <row r="7" spans="1:6" x14ac:dyDescent="0.35">
      <c r="A7">
        <f>1-_xlfn.NORM.S.DIST(2.2,1)</f>
        <v>1.390344751349859E-2</v>
      </c>
    </row>
    <row r="10" spans="1:6" x14ac:dyDescent="0.35">
      <c r="A10" t="s">
        <v>12</v>
      </c>
    </row>
    <row r="11" spans="1:6" x14ac:dyDescent="0.35">
      <c r="A11" t="s">
        <v>13</v>
      </c>
    </row>
    <row r="13" spans="1:6" x14ac:dyDescent="0.35">
      <c r="A13">
        <f>_xlfn.NORM.DIST(0.34,0.295,0.025,1)-_xlfn.NORM.DIST(0.26,0.295,0.025,1)</f>
        <v>0.88331302165330317</v>
      </c>
      <c r="D13" t="s">
        <v>12</v>
      </c>
      <c r="E13" t="s">
        <v>9</v>
      </c>
      <c r="F13">
        <f>(0.34-0.295)/0.025</f>
        <v>1.8000000000000016</v>
      </c>
    </row>
    <row r="14" spans="1:6" x14ac:dyDescent="0.35">
      <c r="A14">
        <f>_xlfn.NORM.S.DIST(1.8,1)-_xlfn.NORM.S.DIST(-1.4,1)</f>
        <v>0.88331302165330317</v>
      </c>
      <c r="D14" t="s">
        <v>14</v>
      </c>
      <c r="E14" t="s">
        <v>9</v>
      </c>
      <c r="F14">
        <f>(0.26-0.295)/0.025</f>
        <v>-1.399999999999999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Binomial Distribution</vt:lpstr>
      <vt:lpstr>Poisson Distribution</vt:lpstr>
      <vt:lpstr>Normal Distribution</vt:lpstr>
    </vt:vector>
  </TitlesOfParts>
  <Company>Oracle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PANUPIND</dc:creator>
  <cp:lastModifiedBy>PANUPIND</cp:lastModifiedBy>
  <dcterms:created xsi:type="dcterms:W3CDTF">2019-07-07T19:03:01Z</dcterms:created>
  <dcterms:modified xsi:type="dcterms:W3CDTF">2019-07-14T13:22:20Z</dcterms:modified>
</cp:coreProperties>
</file>