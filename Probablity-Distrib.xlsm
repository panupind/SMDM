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D:\Prasanna\Personal\Learning\Other Reads\GL\Course Material\SMDM\RProjects\SMDM\"/>
    </mc:Choice>
  </mc:AlternateContent>
  <xr:revisionPtr revIDLastSave="0" documentId="13_ncr:1_{A5C1A729-46AF-44D2-B5A4-76576122B06B}" xr6:coauthVersionLast="36" xr6:coauthVersionMax="36" xr10:uidLastSave="{00000000-0000-0000-0000-000000000000}"/>
  <bookViews>
    <workbookView xWindow="0" yWindow="0" windowWidth="19200" windowHeight="6930" firstSheet="1" activeTab="2" xr2:uid="{CAFE1CAE-3FBB-45F2-95C7-7817835606B8}"/>
  </bookViews>
  <sheets>
    <sheet name="Binomial Distribution" sheetId="1" r:id="rId1"/>
    <sheet name="Binomial Distribution - Disc Q" sheetId="5" r:id="rId2"/>
    <sheet name="Poisson Distribution" sheetId="2" r:id="rId3"/>
    <sheet name="Normal Distribution" sheetId="3" r:id="rId4"/>
    <sheet name="Group Data"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59" i="5" l="1"/>
  <c r="C158" i="5"/>
  <c r="C159" i="5"/>
  <c r="C160" i="5"/>
  <c r="C161" i="5"/>
  <c r="C162" i="5"/>
  <c r="C163" i="5"/>
  <c r="C164" i="5"/>
  <c r="C165" i="5"/>
  <c r="C166" i="5"/>
  <c r="C167" i="5"/>
  <c r="C157" i="5"/>
  <c r="B166" i="5"/>
  <c r="B167" i="5"/>
  <c r="B158" i="5"/>
  <c r="B159" i="5"/>
  <c r="B160" i="5"/>
  <c r="B161" i="5"/>
  <c r="B162" i="5"/>
  <c r="B163" i="5"/>
  <c r="B164" i="5"/>
  <c r="B165" i="5"/>
  <c r="B157" i="5"/>
  <c r="D64" i="2"/>
  <c r="C63" i="2"/>
  <c r="C64" i="2"/>
  <c r="C65" i="2"/>
  <c r="C66" i="2"/>
  <c r="C67" i="2"/>
  <c r="C68" i="2"/>
  <c r="C69" i="2"/>
  <c r="C70" i="2"/>
  <c r="C62" i="2"/>
  <c r="B63" i="2"/>
  <c r="B64" i="2"/>
  <c r="B65" i="2"/>
  <c r="B66" i="2"/>
  <c r="B67" i="2"/>
  <c r="B68" i="2"/>
  <c r="B69" i="2"/>
  <c r="B70" i="2"/>
  <c r="B62" i="2"/>
  <c r="B59" i="2"/>
  <c r="A50" i="3"/>
  <c r="A46" i="3"/>
  <c r="A37" i="3"/>
  <c r="A41" i="3"/>
  <c r="C46" i="2"/>
  <c r="C47" i="2"/>
  <c r="C48" i="2"/>
  <c r="C49" i="2"/>
  <c r="C50" i="2"/>
  <c r="C51" i="2"/>
  <c r="B46" i="2"/>
  <c r="B47" i="2"/>
  <c r="B48" i="2"/>
  <c r="B49" i="2"/>
  <c r="B50" i="2"/>
  <c r="B51" i="2"/>
  <c r="C42" i="2"/>
  <c r="C43" i="2"/>
  <c r="C44" i="2"/>
  <c r="C45" i="2"/>
  <c r="C41" i="2"/>
  <c r="B42" i="2"/>
  <c r="B43" i="2"/>
  <c r="B44" i="2"/>
  <c r="B45" i="2"/>
  <c r="B41" i="2"/>
  <c r="C28" i="2"/>
  <c r="C29" i="2"/>
  <c r="C30" i="2"/>
  <c r="C31" i="2"/>
  <c r="C32" i="2"/>
  <c r="C33" i="2"/>
  <c r="C34" i="2"/>
  <c r="C27" i="2"/>
  <c r="B28" i="2"/>
  <c r="B29" i="2"/>
  <c r="B30" i="2"/>
  <c r="B31" i="2"/>
  <c r="B32" i="2"/>
  <c r="B33" i="2"/>
  <c r="B34" i="2"/>
  <c r="B27" i="2"/>
  <c r="B121" i="5"/>
  <c r="B136" i="5"/>
  <c r="B141" i="5" s="1"/>
  <c r="C136" i="5"/>
  <c r="C146" i="5" s="1"/>
  <c r="B123" i="5"/>
  <c r="B124" i="5" s="1"/>
  <c r="B122" i="5"/>
  <c r="B115" i="5"/>
  <c r="B117" i="5" s="1"/>
  <c r="C98" i="5"/>
  <c r="B98" i="5"/>
  <c r="K73" i="5"/>
  <c r="K74" i="5"/>
  <c r="K75" i="5"/>
  <c r="K76" i="5"/>
  <c r="K77" i="5"/>
  <c r="K78" i="5"/>
  <c r="K79" i="5"/>
  <c r="K80" i="5"/>
  <c r="K81" i="5"/>
  <c r="K82" i="5"/>
  <c r="K72" i="5"/>
  <c r="I73" i="5"/>
  <c r="J73" i="5" s="1"/>
  <c r="I74" i="5"/>
  <c r="I75" i="5"/>
  <c r="I76" i="5"/>
  <c r="J76" i="5" s="1"/>
  <c r="I77" i="5"/>
  <c r="J77" i="5" s="1"/>
  <c r="I78" i="5"/>
  <c r="J78" i="5" s="1"/>
  <c r="I79" i="5"/>
  <c r="J79" i="5" s="1"/>
  <c r="I80" i="5"/>
  <c r="J80" i="5" s="1"/>
  <c r="I81" i="5"/>
  <c r="J81" i="5" s="1"/>
  <c r="I82" i="5"/>
  <c r="I72" i="5"/>
  <c r="J72" i="5" s="1"/>
  <c r="J74" i="5"/>
  <c r="J75" i="5"/>
  <c r="J82" i="5"/>
  <c r="H73" i="5"/>
  <c r="H74" i="5"/>
  <c r="H75" i="5"/>
  <c r="H76" i="5"/>
  <c r="H77" i="5"/>
  <c r="H78" i="5"/>
  <c r="H79" i="5"/>
  <c r="H80" i="5"/>
  <c r="H81" i="5"/>
  <c r="H82" i="5"/>
  <c r="H72" i="5"/>
  <c r="F73" i="5"/>
  <c r="G73" i="5" s="1"/>
  <c r="F74" i="5"/>
  <c r="F75" i="5"/>
  <c r="F76" i="5"/>
  <c r="F77" i="5"/>
  <c r="G77" i="5" s="1"/>
  <c r="F78" i="5"/>
  <c r="G78" i="5" s="1"/>
  <c r="F79" i="5"/>
  <c r="G79" i="5" s="1"/>
  <c r="F80" i="5"/>
  <c r="G80" i="5" s="1"/>
  <c r="F81" i="5"/>
  <c r="G81" i="5" s="1"/>
  <c r="F82" i="5"/>
  <c r="G82" i="5" s="1"/>
  <c r="E73" i="5"/>
  <c r="D86" i="5" s="1"/>
  <c r="D87" i="5" s="1"/>
  <c r="E74" i="5"/>
  <c r="E75" i="5"/>
  <c r="E76" i="5"/>
  <c r="E77" i="5"/>
  <c r="E78" i="5"/>
  <c r="E79" i="5"/>
  <c r="E80" i="5"/>
  <c r="E81" i="5"/>
  <c r="E82" i="5"/>
  <c r="C73" i="5"/>
  <c r="D73" i="5" s="1"/>
  <c r="C74" i="5"/>
  <c r="C75" i="5"/>
  <c r="D75" i="5" s="1"/>
  <c r="C76" i="5"/>
  <c r="D76" i="5" s="1"/>
  <c r="C77" i="5"/>
  <c r="D77" i="5" s="1"/>
  <c r="C78" i="5"/>
  <c r="D78" i="5" s="1"/>
  <c r="C79" i="5"/>
  <c r="D79" i="5" s="1"/>
  <c r="C80" i="5"/>
  <c r="D80" i="5" s="1"/>
  <c r="C81" i="5"/>
  <c r="D81" i="5" s="1"/>
  <c r="C82" i="5"/>
  <c r="E72" i="5"/>
  <c r="C72" i="5"/>
  <c r="D72" i="5" s="1"/>
  <c r="G74" i="5"/>
  <c r="F72" i="5"/>
  <c r="G72" i="5" s="1"/>
  <c r="G75" i="5"/>
  <c r="G76" i="5"/>
  <c r="D82" i="5"/>
  <c r="D74" i="5"/>
  <c r="C50" i="5"/>
  <c r="D50" i="5" s="1"/>
  <c r="C51" i="5"/>
  <c r="D51" i="5" s="1"/>
  <c r="C52" i="5"/>
  <c r="D52" i="5" s="1"/>
  <c r="C53" i="5"/>
  <c r="D53" i="5" s="1"/>
  <c r="C54" i="5"/>
  <c r="D54" i="5" s="1"/>
  <c r="C55" i="5"/>
  <c r="D55" i="5" s="1"/>
  <c r="C56" i="5"/>
  <c r="D56" i="5" s="1"/>
  <c r="C57" i="5"/>
  <c r="D57" i="5" s="1"/>
  <c r="C58" i="5"/>
  <c r="D58" i="5" s="1"/>
  <c r="C59" i="5"/>
  <c r="D59" i="5" s="1"/>
  <c r="C60" i="5"/>
  <c r="D60" i="5" s="1"/>
  <c r="C61" i="5"/>
  <c r="D61" i="5" s="1"/>
  <c r="C62" i="5"/>
  <c r="D62" i="5" s="1"/>
  <c r="C63" i="5"/>
  <c r="D63" i="5" s="1"/>
  <c r="C64" i="5"/>
  <c r="D64" i="5" s="1"/>
  <c r="C49" i="5"/>
  <c r="D49" i="5" s="1"/>
  <c r="B41" i="5"/>
  <c r="C138" i="5" l="1"/>
  <c r="C139" i="5" s="1"/>
  <c r="C141" i="5"/>
  <c r="C142" i="5" s="1"/>
  <c r="B146" i="5"/>
  <c r="G89" i="5"/>
  <c r="B142" i="5"/>
  <c r="B138" i="5"/>
  <c r="B139" i="5" s="1"/>
  <c r="G86" i="5"/>
  <c r="G87" i="5" s="1"/>
  <c r="E15" i="6"/>
  <c r="E14" i="6"/>
  <c r="H11" i="6"/>
  <c r="H6" i="6"/>
  <c r="H7" i="6"/>
  <c r="H8" i="6"/>
  <c r="H9" i="6"/>
  <c r="H5" i="6"/>
  <c r="G6" i="6"/>
  <c r="G7" i="6"/>
  <c r="G8" i="6"/>
  <c r="G9" i="6"/>
  <c r="G5" i="6"/>
  <c r="E13" i="6"/>
  <c r="E11" i="6"/>
  <c r="F11" i="6"/>
  <c r="F6" i="6"/>
  <c r="F7" i="6"/>
  <c r="F8" i="6"/>
  <c r="F9" i="6"/>
  <c r="F5" i="6"/>
  <c r="D6" i="6"/>
  <c r="D7" i="6"/>
  <c r="D8" i="6"/>
  <c r="D9" i="6"/>
  <c r="D5" i="6"/>
  <c r="C5" i="5"/>
  <c r="C6" i="5"/>
  <c r="C7" i="5"/>
  <c r="C8" i="5"/>
  <c r="C9" i="5"/>
  <c r="C10" i="5"/>
  <c r="C11" i="5"/>
  <c r="C12" i="5"/>
  <c r="C13" i="5"/>
  <c r="C14" i="5"/>
  <c r="C15" i="5"/>
  <c r="C16" i="5"/>
  <c r="C17" i="5"/>
  <c r="C18" i="5"/>
  <c r="C19" i="5"/>
  <c r="C20" i="5"/>
  <c r="C21" i="5"/>
  <c r="C22" i="5"/>
  <c r="C23" i="5"/>
  <c r="C24" i="5"/>
  <c r="C4" i="5"/>
  <c r="B27" i="5" s="1"/>
  <c r="B5" i="5"/>
  <c r="B6" i="5"/>
  <c r="B7" i="5"/>
  <c r="B8" i="5"/>
  <c r="B9" i="5"/>
  <c r="B10" i="5"/>
  <c r="B11" i="5"/>
  <c r="B12" i="5"/>
  <c r="B13" i="5"/>
  <c r="B14" i="5"/>
  <c r="B15" i="5"/>
  <c r="B16" i="5"/>
  <c r="B17" i="5"/>
  <c r="B18" i="5"/>
  <c r="B19" i="5"/>
  <c r="B20" i="5"/>
  <c r="B21" i="5"/>
  <c r="B22" i="5"/>
  <c r="B23" i="5"/>
  <c r="B24" i="5"/>
  <c r="B4" i="5"/>
  <c r="A23" i="3"/>
  <c r="C144" i="5" l="1"/>
  <c r="B144" i="5"/>
  <c r="D20" i="3"/>
  <c r="A18" i="3"/>
  <c r="A17" i="3"/>
  <c r="A14" i="3" l="1"/>
  <c r="F14" i="3"/>
  <c r="F13" i="3"/>
  <c r="A13" i="3"/>
  <c r="A7" i="3"/>
  <c r="A6" i="3"/>
  <c r="F6" i="3"/>
  <c r="F1" i="3"/>
  <c r="A3" i="3"/>
  <c r="A2" i="3"/>
  <c r="D13" i="2"/>
  <c r="D14" i="2"/>
  <c r="D15" i="2"/>
  <c r="C13" i="2"/>
  <c r="C14" i="2"/>
  <c r="C15" i="2"/>
  <c r="D6" i="2"/>
  <c r="D7" i="2"/>
  <c r="D8" i="2"/>
  <c r="E8" i="2" s="1"/>
  <c r="D9" i="2"/>
  <c r="D10" i="2"/>
  <c r="D11" i="2"/>
  <c r="D12" i="2"/>
  <c r="D5" i="2"/>
  <c r="C6" i="2"/>
  <c r="C7" i="2"/>
  <c r="C8" i="2"/>
  <c r="C9" i="2"/>
  <c r="C10" i="2"/>
  <c r="C11" i="2"/>
  <c r="C12" i="2"/>
  <c r="C5" i="2"/>
  <c r="B18" i="1" l="1"/>
  <c r="B16" i="1"/>
  <c r="C5" i="1"/>
  <c r="C6" i="1"/>
  <c r="C7" i="1"/>
  <c r="C8" i="1"/>
  <c r="C9" i="1"/>
  <c r="C10" i="1"/>
  <c r="C11" i="1"/>
  <c r="C4" i="1"/>
  <c r="B5" i="1" l="1"/>
  <c r="B6" i="1"/>
  <c r="B7" i="1"/>
  <c r="B8" i="1"/>
  <c r="B9" i="1"/>
  <c r="B10" i="1"/>
  <c r="B11" i="1"/>
  <c r="B4" i="1"/>
</calcChain>
</file>

<file path=xl/sharedStrings.xml><?xml version="1.0" encoding="utf-8"?>
<sst xmlns="http://schemas.openxmlformats.org/spreadsheetml/2006/main" count="130" uniqueCount="89">
  <si>
    <t>x</t>
  </si>
  <si>
    <t>Probablility</t>
  </si>
  <si>
    <t>Probability Cumulative</t>
  </si>
  <si>
    <t>Poissson</t>
  </si>
  <si>
    <t>P(X = 4)</t>
  </si>
  <si>
    <t>P(X &gt; 3) = 1-P(X&lt;=3)</t>
  </si>
  <si>
    <t>1-[P(X&lt;3) = P (X=0) + P(X=1) +P(X =2) + P(X=3)]</t>
  </si>
  <si>
    <t xml:space="preserve">Probability Cumulative </t>
  </si>
  <si>
    <t>P(X&gt;=3)= 1-P(X=0+ X=1+ X=2+ X=3)</t>
  </si>
  <si>
    <r>
      <t>x-</t>
    </r>
    <r>
      <rPr>
        <sz val="11"/>
        <color theme="1"/>
        <rFont val="Calibri"/>
        <family val="2"/>
      </rPr>
      <t>µ/σ</t>
    </r>
  </si>
  <si>
    <t>x1</t>
  </si>
  <si>
    <t>x2</t>
  </si>
  <si>
    <t>x3</t>
  </si>
  <si>
    <t>0.26 To 0.34</t>
  </si>
  <si>
    <t>x4</t>
  </si>
  <si>
    <r>
      <t>x-</t>
    </r>
    <r>
      <rPr>
        <sz val="11"/>
        <color theme="1"/>
        <rFont val="Calibri"/>
        <family val="2"/>
      </rPr>
      <t>µ/σ</t>
    </r>
    <r>
      <rPr>
        <sz val="11"/>
        <color theme="1"/>
        <rFont val="Calibri"/>
        <family val="2"/>
        <scheme val="minor"/>
      </rPr>
      <t xml:space="preserve"> = -1.28155</t>
    </r>
  </si>
  <si>
    <r>
      <t>x = -1.28155*</t>
    </r>
    <r>
      <rPr>
        <sz val="11"/>
        <color theme="1"/>
        <rFont val="Calibri"/>
        <family val="2"/>
      </rPr>
      <t>σ+µ</t>
    </r>
  </si>
  <si>
    <t>Practice Q7</t>
  </si>
  <si>
    <t>A sales executive has generated 20 leads. He estimates that there is a 10% chance that each lead will result in a sale and that the leads are independent of each other. What is the chance that he will make at least one sale?</t>
  </si>
  <si>
    <t>A sales executive has generated 20 leads. He estimates that there is a 10% chance that each lead will result in a sale and that the leads are independent of each other. How many sales should he expect to make?</t>
  </si>
  <si>
    <t>P(X&gt;=1)</t>
  </si>
  <si>
    <t>~88%</t>
  </si>
  <si>
    <t>Lower Limit</t>
  </si>
  <si>
    <t>Upper Limit</t>
  </si>
  <si>
    <t>Mid Point</t>
  </si>
  <si>
    <t>f</t>
  </si>
  <si>
    <t>fx</t>
  </si>
  <si>
    <t>(x-xi)^2</t>
  </si>
  <si>
    <t>Mean</t>
  </si>
  <si>
    <t>f(x-xi)^2</t>
  </si>
  <si>
    <t>Sample
Varience</t>
  </si>
  <si>
    <t>Standard
Deviation</t>
  </si>
  <si>
    <t>Calculating Mean , Varience and Standard Deviation of Grouped Sample Data</t>
  </si>
  <si>
    <t>In an inspection of automobiles, 60% of all automobiles had emissions that do not meet the pollution requirement. For a random sample of 15 automobiles, compute the following:
The probability that all 15 fails the inspection
Exactly 8 fails the inspection</t>
  </si>
  <si>
    <t>Probablity %</t>
  </si>
  <si>
    <t>Over a long period of time in a large multinomial corporation, 10% of all sales trainees are rated as outstanding, 75% are rated as excellent, 10% are rated as satisfactory and 5% are considered unsatisfactory. Find the following probabilities for a sample of 10 trainees selected at random.
Two are rated as outstanding
Two or more are rated as outstanding</t>
  </si>
  <si>
    <t>P(X&gt;=2)</t>
  </si>
  <si>
    <t>1 -P(X&lt;2)</t>
  </si>
  <si>
    <t>Probablility(outstanding)</t>
  </si>
  <si>
    <t>Probablility(Cumulative)</t>
  </si>
  <si>
    <t>Probablility(Excellent)</t>
  </si>
  <si>
    <t>P(x=8 ) for outstanding + P( x=8 ) for excellent</t>
  </si>
  <si>
    <t>P(x=8  for outstanding and excellent) [ These are mutually exclusive events ] . So P[out ] U P[Exc ] = P[Out] + P[Exc]</t>
  </si>
  <si>
    <t>%</t>
  </si>
  <si>
    <t>Probablility(Unstatisfactory)</t>
  </si>
  <si>
    <t>For on-campus recruitment, Ms. Z has sat for tests by Company A and Company B. For both tests her score is 50. It is known that for Company A, scores have a normal distribution with mean 40 and standard deviation 15 whereas for Company B, scores have a normal distribution with mean 45 and standard deviation 10. Relatively speaking in which test has Ms. Z done better?</t>
  </si>
  <si>
    <t>Company A</t>
  </si>
  <si>
    <t>Company B</t>
  </si>
  <si>
    <t>SD</t>
  </si>
  <si>
    <t>CV</t>
  </si>
  <si>
    <t>Variation wrt mean is more</t>
  </si>
  <si>
    <t>Variation wrt mean is less</t>
  </si>
  <si>
    <t>50 here means more dispersion from the mean , which means there are many more who have done better than Ms.Z</t>
  </si>
  <si>
    <t>50 here means less dispersion from the mean , which means she is closer to the mean , and is competing with avg score of the batch. Ms.Z is better bet here</t>
  </si>
  <si>
    <t>On an average Make My Trip gets 5000 queries a day with a standard deviation of 500. Assuming a month contains 30 days, on what proportion of days a month will there be more than 5250 queries?</t>
  </si>
  <si>
    <t>n</t>
  </si>
  <si>
    <t>Assume , the average number of queries in each day follows a normal distribition</t>
  </si>
  <si>
    <t>NORM.DIST(x, mean,sd, cumulative )</t>
  </si>
  <si>
    <t>Based on the above information, answer the below question: Assuming a month contains 30 days, data is collected on 25 months and an average of 25 months is computed. What is the probability that average of 25 months is more than 5250?</t>
  </si>
  <si>
    <t>p(X) =</t>
  </si>
  <si>
    <t>p(x) such that x &gt; 5250</t>
  </si>
  <si>
    <t>p(x) for average &gt; 5250 over a period of 25 months</t>
  </si>
  <si>
    <t>p(x) %</t>
  </si>
  <si>
    <t>One month is a sample and 25 months is population. Computing avg probality of population , given probablity of sample , by using SD of population σ  ,  using  s / √n</t>
  </si>
  <si>
    <t>A survey was conducted with graduates from the top 30 MBA programs. On the basis of the survey assumed that the mean annual salary for male and female graduates 10 years after graduation is US$168,000 and US$117,000 respectively. Assume the standard deviation for the male graduates is US$40,000 and for the female graduates US$25,000. What is the probability that a random sample of 40 male graduates will provide a sample mean within US$10,000 of the population mean?</t>
  </si>
  <si>
    <t>Male</t>
  </si>
  <si>
    <t>Female</t>
  </si>
  <si>
    <t>Mean Anuual Sal</t>
  </si>
  <si>
    <t>1-p(x)</t>
  </si>
  <si>
    <t>SD(s)</t>
  </si>
  <si>
    <r>
      <t>SD(</t>
    </r>
    <r>
      <rPr>
        <sz val="11"/>
        <color theme="1"/>
        <rFont val="Calibri"/>
        <family val="2"/>
      </rPr>
      <t>σ)</t>
    </r>
  </si>
  <si>
    <t>p1(x)</t>
  </si>
  <si>
    <t>p1(x)%</t>
  </si>
  <si>
    <t>p2(x)</t>
  </si>
  <si>
    <t>p2(x)%</t>
  </si>
  <si>
    <t>p1(x)-p2(x)</t>
  </si>
  <si>
    <t>CV (Population)</t>
  </si>
  <si>
    <t>σ = s/√n</t>
  </si>
  <si>
    <t>Investment Advisors agree that near-retirees, defined as people aged 55 to 65, should have balanced portfolios. Most advisors suggest that the near-retirees have no more 50% of their investments in stocks. However, during the huge decline in the stock market in 2008, 22% of near-retirees had 90% or more of their investments in stocks. Suppose you have a random sample of 10 people who have labeled as near-retirees in 2008. Based on this information answer the below 3 Questions:</t>
  </si>
  <si>
    <t>Assume that the number of network errors experienced in a day on a local area network (LAN) is distributed as a Poisson random variable. The mean number of network errors experienced in a day is 2.4. Based on this information answer the following question:</t>
  </si>
  <si>
    <t>The probability that fewer than three network errors will occur?</t>
  </si>
  <si>
    <t>The quality control manager of Marilyn’s cookies is inspecting a batch of chocolate -chip cookies that have been just baked. If the production process is in control of the mean number of chips parts per cookie is 6.0. What is the probability that in any particular cookie being inspected:
1. Fewer than five chips part will be found?
2. Exactly five chips parts will be found?</t>
  </si>
  <si>
    <t>In a recent year, about two-thirds of US households purchased ground coffee. Consider the annual ground coffee expenditures for households purchasing ground coffee assuming that these expenditures are approximately distributed as a normal random variable with a mean of $65.16 and a Standard Deviation of $10.00. Using this information answer the below questions:</t>
  </si>
  <si>
    <t>Find the probability that a household spent less than $35.00</t>
  </si>
  <si>
    <t>Find the probability that a household spent more than $60.00</t>
  </si>
  <si>
    <t>What proportion of the households spent between $40.00 and $50.00?</t>
  </si>
  <si>
    <t>99% of households spent less than what amount?</t>
  </si>
  <si>
    <t xml:space="preserve">What is the probability that during 2008 Zero had 90% or more of their investments in stocks?
What is the probability that during 2008, Exactly one had 90% or more of his investments in stocks?
What is the probability that during 2008, Three or more had 90% or more of their investments in stocks ?
</t>
  </si>
  <si>
    <t>What is the probability that during 2008 Zero had 90% or more of their investments in stocks?
What is the probability that during 2008, Exactly one had 90% or more of his investments in stocks?
What is the probability that during 2008, Three or more had 90% or more of their investments in stocks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</si>
</sst>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0" borderId="1" xfId="0" applyBorder="1"/>
    <xf numFmtId="0" fontId="0" fillId="0" borderId="0" xfId="0" applyBorder="1"/>
    <xf numFmtId="0" fontId="0" fillId="0" borderId="0" xfId="0" applyFill="1" applyBorder="1" applyAlignment="1">
      <alignment wrapText="1"/>
    </xf>
    <xf numFmtId="0" fontId="1" fillId="0" borderId="1" xfId="0" applyFont="1" applyBorder="1"/>
    <xf numFmtId="0" fontId="1" fillId="0" borderId="1" xfId="0" applyFont="1" applyBorder="1" applyAlignment="1">
      <alignment horizontal="right" vertical="top"/>
    </xf>
    <xf numFmtId="0" fontId="0" fillId="0" borderId="0" xfId="0" applyAlignment="1">
      <alignment wrapText="1"/>
    </xf>
    <xf numFmtId="0" fontId="0" fillId="0" borderId="0" xfId="0" applyBorder="1" applyAlignment="1">
      <alignment horizontal="right"/>
    </xf>
    <xf numFmtId="0" fontId="0" fillId="0" borderId="0" xfId="0" applyAlignment="1">
      <alignment horizontal="center"/>
    </xf>
    <xf numFmtId="0" fontId="0" fillId="0" borderId="1" xfId="0" applyBorder="1" applyAlignment="1">
      <alignment horizontal="center"/>
    </xf>
    <xf numFmtId="0" fontId="0" fillId="2" borderId="1" xfId="0" applyFill="1" applyBorder="1"/>
    <xf numFmtId="0" fontId="0" fillId="2" borderId="0" xfId="0" applyFill="1"/>
    <xf numFmtId="0" fontId="1" fillId="0" borderId="1" xfId="0" applyFont="1" applyBorder="1" applyAlignment="1">
      <alignment wrapText="1"/>
    </xf>
    <xf numFmtId="0" fontId="1" fillId="0" borderId="1" xfId="0" applyFont="1" applyBorder="1" applyAlignment="1">
      <alignment vertical="top" wrapText="1"/>
    </xf>
    <xf numFmtId="0" fontId="1" fillId="0" borderId="1" xfId="0" applyFont="1" applyBorder="1" applyAlignment="1">
      <alignment vertical="top"/>
    </xf>
    <xf numFmtId="0" fontId="0" fillId="3" borderId="0" xfId="0" applyFill="1"/>
    <xf numFmtId="0" fontId="2" fillId="0" borderId="0" xfId="0" applyFont="1"/>
    <xf numFmtId="3" fontId="0" fillId="0" borderId="0" xfId="0" applyNumberFormat="1"/>
    <xf numFmtId="0" fontId="0" fillId="0" borderId="0" xfId="0" applyAlignment="1">
      <alignment horizontal="right"/>
    </xf>
    <xf numFmtId="0" fontId="0" fillId="0" borderId="0" xfId="0" applyAlignment="1">
      <alignment wrapText="1"/>
    </xf>
    <xf numFmtId="0" fontId="0" fillId="0" borderId="0" xfId="0" applyAlignment="1"/>
    <xf numFmtId="0" fontId="0" fillId="0" borderId="0" xfId="0" applyAlignment="1">
      <alignment vertical="top" wrapText="1"/>
    </xf>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'Binomial Distribution'!$B$3</c:f>
              <c:strCache>
                <c:ptCount val="1"/>
                <c:pt idx="0">
                  <c:v>Probablility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Distribution'!$B$4:$B$11</c:f>
              <c:numCache>
                <c:formatCode>General</c:formatCode>
                <c:ptCount val="8"/>
                <c:pt idx="0">
                  <c:v>1.638400000000001E-3</c:v>
                </c:pt>
                <c:pt idx="1">
                  <c:v>1.7203199999999991E-2</c:v>
                </c:pt>
                <c:pt idx="2">
                  <c:v>7.7414400000000008E-2</c:v>
                </c:pt>
                <c:pt idx="3">
                  <c:v>0.19353600000000004</c:v>
                </c:pt>
                <c:pt idx="4">
                  <c:v>0.29030400000000001</c:v>
                </c:pt>
                <c:pt idx="5">
                  <c:v>0.26127359999999999</c:v>
                </c:pt>
                <c:pt idx="6">
                  <c:v>0.1306368</c:v>
                </c:pt>
                <c:pt idx="7">
                  <c:v>2.7993599999999987E-2</c:v>
                </c:pt>
              </c:numCache>
            </c:numRef>
          </c:val>
          <c:extLst>
            <c:ext xmlns:c16="http://schemas.microsoft.com/office/drawing/2014/chart" uri="{C3380CC4-5D6E-409C-BE32-E72D297353CC}">
              <c16:uniqueId val="{00000000-2922-42BA-A1DA-E825BC5E1B2E}"/>
            </c:ext>
          </c:extLst>
        </c:ser>
        <c:dLbls>
          <c:dLblPos val="outEnd"/>
          <c:showLegendKey val="0"/>
          <c:showVal val="1"/>
          <c:showCatName val="0"/>
          <c:showSerName val="0"/>
          <c:showPercent val="0"/>
          <c:showBubbleSize val="0"/>
        </c:dLbls>
        <c:gapWidth val="219"/>
        <c:overlap val="-27"/>
        <c:axId val="467746496"/>
        <c:axId val="474737640"/>
      </c:barChart>
      <c:catAx>
        <c:axId val="46774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37640"/>
        <c:crosses val="autoZero"/>
        <c:auto val="1"/>
        <c:lblAlgn val="ctr"/>
        <c:lblOffset val="100"/>
        <c:noMultiLvlLbl val="0"/>
      </c:catAx>
      <c:valAx>
        <c:axId val="474737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Binomial</a:t>
            </a:r>
            <a:r>
              <a:rPr lang="en-US" baseline="0"/>
              <a:t> Distribution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'Binomial Distribution'!$B$3</c:f>
              <c:strCache>
                <c:ptCount val="1"/>
                <c:pt idx="0">
                  <c:v>Probablility</c:v>
                </c:pt>
              </c:strCache>
            </c:strRef>
          </c:tx>
          <c:spPr>
            <a:ln w="28575" cap="rnd">
              <a:solidFill>
                <a:schemeClr val="accent1"/>
              </a:solidFill>
              <a:round/>
            </a:ln>
            <a:effectLst/>
          </c:spPr>
          <c:marker>
            <c:symbol val="none"/>
          </c:marker>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Distribution'!$B$4:$B$11</c:f>
              <c:numCache>
                <c:formatCode>General</c:formatCode>
                <c:ptCount val="8"/>
                <c:pt idx="0">
                  <c:v>1.638400000000001E-3</c:v>
                </c:pt>
                <c:pt idx="1">
                  <c:v>1.7203199999999991E-2</c:v>
                </c:pt>
                <c:pt idx="2">
                  <c:v>7.7414400000000008E-2</c:v>
                </c:pt>
                <c:pt idx="3">
                  <c:v>0.19353600000000004</c:v>
                </c:pt>
                <c:pt idx="4">
                  <c:v>0.29030400000000001</c:v>
                </c:pt>
                <c:pt idx="5">
                  <c:v>0.26127359999999999</c:v>
                </c:pt>
                <c:pt idx="6">
                  <c:v>0.1306368</c:v>
                </c:pt>
                <c:pt idx="7">
                  <c:v>2.7993599999999987E-2</c:v>
                </c:pt>
              </c:numCache>
            </c:numRef>
          </c:val>
          <c:smooth val="0"/>
          <c:extLst>
            <c:ext xmlns:c16="http://schemas.microsoft.com/office/drawing/2014/chart" uri="{C3380CC4-5D6E-409C-BE32-E72D297353CC}">
              <c16:uniqueId val="{00000000-CA23-47BC-A29A-14ED6DF5D621}"/>
            </c:ext>
          </c:extLst>
        </c:ser>
        <c:dLbls>
          <c:showLegendKey val="0"/>
          <c:showVal val="0"/>
          <c:showCatName val="0"/>
          <c:showSerName val="0"/>
          <c:showPercent val="0"/>
          <c:showBubbleSize val="0"/>
        </c:dLbls>
        <c:marker val="1"/>
        <c:smooth val="0"/>
        <c:axId val="607119304"/>
        <c:axId val="607116352"/>
      </c:lineChart>
      <c:lineChart>
        <c:grouping val="standard"/>
        <c:varyColors val="0"/>
        <c:ser>
          <c:idx val="1"/>
          <c:order val="1"/>
          <c:tx>
            <c:strRef>
              <c:f>'Binomial Distribution'!$C$3</c:f>
              <c:strCache>
                <c:ptCount val="1"/>
                <c:pt idx="0">
                  <c:v>Probability Cumulative</c:v>
                </c:pt>
              </c:strCache>
            </c:strRef>
          </c:tx>
          <c:spPr>
            <a:ln w="28575" cap="rnd">
              <a:solidFill>
                <a:schemeClr val="accent2"/>
              </a:solidFill>
              <a:round/>
            </a:ln>
            <a:effectLst/>
          </c:spPr>
          <c:marker>
            <c:symbol val="none"/>
          </c:marker>
          <c:cat>
            <c:numRef>
              <c:f>'Binomial Distribution'!$A$4:$A$11</c:f>
              <c:numCache>
                <c:formatCode>General</c:formatCode>
                <c:ptCount val="8"/>
                <c:pt idx="0">
                  <c:v>0</c:v>
                </c:pt>
                <c:pt idx="1">
                  <c:v>1</c:v>
                </c:pt>
                <c:pt idx="2">
                  <c:v>2</c:v>
                </c:pt>
                <c:pt idx="3">
                  <c:v>3</c:v>
                </c:pt>
                <c:pt idx="4">
                  <c:v>4</c:v>
                </c:pt>
                <c:pt idx="5">
                  <c:v>5</c:v>
                </c:pt>
                <c:pt idx="6">
                  <c:v>6</c:v>
                </c:pt>
                <c:pt idx="7">
                  <c:v>7</c:v>
                </c:pt>
              </c:numCache>
            </c:numRef>
          </c:cat>
          <c:val>
            <c:numRef>
              <c:f>'Binomial Distribution'!$C$4:$C$11</c:f>
              <c:numCache>
                <c:formatCode>General</c:formatCode>
                <c:ptCount val="8"/>
                <c:pt idx="0">
                  <c:v>1.638400000000001E-3</c:v>
                </c:pt>
                <c:pt idx="1">
                  <c:v>1.884160000000001E-2</c:v>
                </c:pt>
                <c:pt idx="2">
                  <c:v>9.6256000000000036E-2</c:v>
                </c:pt>
                <c:pt idx="3">
                  <c:v>0.28979200000000005</c:v>
                </c:pt>
                <c:pt idx="4">
                  <c:v>0.58009600000000017</c:v>
                </c:pt>
                <c:pt idx="5">
                  <c:v>0.84136960000000005</c:v>
                </c:pt>
                <c:pt idx="6">
                  <c:v>0.97200639999999994</c:v>
                </c:pt>
                <c:pt idx="7">
                  <c:v>1</c:v>
                </c:pt>
              </c:numCache>
            </c:numRef>
          </c:val>
          <c:smooth val="0"/>
          <c:extLst>
            <c:ext xmlns:c16="http://schemas.microsoft.com/office/drawing/2014/chart" uri="{C3380CC4-5D6E-409C-BE32-E72D297353CC}">
              <c16:uniqueId val="{00000001-CA23-47BC-A29A-14ED6DF5D621}"/>
            </c:ext>
          </c:extLst>
        </c:ser>
        <c:dLbls>
          <c:showLegendKey val="0"/>
          <c:showVal val="0"/>
          <c:showCatName val="0"/>
          <c:showSerName val="0"/>
          <c:showPercent val="0"/>
          <c:showBubbleSize val="0"/>
        </c:dLbls>
        <c:marker val="1"/>
        <c:smooth val="0"/>
        <c:axId val="598963048"/>
        <c:axId val="598966328"/>
      </c:lineChart>
      <c:catAx>
        <c:axId val="607119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6352"/>
        <c:crosses val="autoZero"/>
        <c:auto val="1"/>
        <c:lblAlgn val="ctr"/>
        <c:lblOffset val="100"/>
        <c:noMultiLvlLbl val="0"/>
      </c:catAx>
      <c:valAx>
        <c:axId val="60711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9304"/>
        <c:crosses val="autoZero"/>
        <c:crossBetween val="between"/>
      </c:valAx>
      <c:valAx>
        <c:axId val="59896632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963048"/>
        <c:crosses val="max"/>
        <c:crossBetween val="between"/>
      </c:valAx>
      <c:catAx>
        <c:axId val="598963048"/>
        <c:scaling>
          <c:orientation val="minMax"/>
        </c:scaling>
        <c:delete val="1"/>
        <c:axPos val="b"/>
        <c:numFmt formatCode="General" sourceLinked="1"/>
        <c:majorTickMark val="out"/>
        <c:minorTickMark val="none"/>
        <c:tickLblPos val="nextTo"/>
        <c:crossAx val="5989663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'Binomial Distribution - Disc Q'!$B$3</c:f>
              <c:strCache>
                <c:ptCount val="1"/>
                <c:pt idx="0">
                  <c:v>Probablility</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Q'!$B$4:$B$24</c:f>
              <c:numCache>
                <c:formatCode>General</c:formatCode>
                <c:ptCount val="21"/>
                <c:pt idx="0">
                  <c:v>0.12157665459056925</c:v>
                </c:pt>
                <c:pt idx="1">
                  <c:v>0.27017034353459846</c:v>
                </c:pt>
                <c:pt idx="2">
                  <c:v>0.28517980706429835</c:v>
                </c:pt>
                <c:pt idx="3">
                  <c:v>0.19011987137619887</c:v>
                </c:pt>
                <c:pt idx="4">
                  <c:v>8.9778828149871717E-2</c:v>
                </c:pt>
                <c:pt idx="5">
                  <c:v>3.1921361119954368E-2</c:v>
                </c:pt>
                <c:pt idx="6">
                  <c:v>8.867044755542881E-3</c:v>
                </c:pt>
                <c:pt idx="7">
                  <c:v>1.9704543901206402E-3</c:v>
                </c:pt>
                <c:pt idx="8">
                  <c:v>3.5577648710511571E-4</c:v>
                </c:pt>
                <c:pt idx="9">
                  <c:v>5.2707627719276334E-5</c:v>
                </c:pt>
                <c:pt idx="10">
                  <c:v>6.442043387911556E-6</c:v>
                </c:pt>
                <c:pt idx="11">
                  <c:v>6.5071145332439828E-7</c:v>
                </c:pt>
                <c:pt idx="12">
                  <c:v>5.4225954443699969E-8</c:v>
                </c:pt>
                <c:pt idx="13">
                  <c:v>3.7077575688000076E-9</c:v>
                </c:pt>
                <c:pt idx="14">
                  <c:v>2.0598653159999975E-10</c:v>
                </c:pt>
                <c:pt idx="15">
                  <c:v>9.1549569599999907E-12</c:v>
                </c:pt>
                <c:pt idx="16">
                  <c:v>3.1788045000000092E-13</c:v>
                </c:pt>
                <c:pt idx="17">
                  <c:v>8.3106000000000242E-15</c:v>
                </c:pt>
                <c:pt idx="18">
                  <c:v>1.5390000000000012E-16</c:v>
                </c:pt>
                <c:pt idx="19">
                  <c:v>1.7999999999999935E-18</c:v>
                </c:pt>
                <c:pt idx="20">
                  <c:v>1.0000000000000063E-20</c:v>
                </c:pt>
              </c:numCache>
            </c:numRef>
          </c:val>
          <c:extLst>
            <c:ext xmlns:c16="http://schemas.microsoft.com/office/drawing/2014/chart" uri="{C3380CC4-5D6E-409C-BE32-E72D297353CC}">
              <c16:uniqueId val="{00000000-8E9B-4620-AB0C-E1F70C083D96}"/>
            </c:ext>
          </c:extLst>
        </c:ser>
        <c:dLbls>
          <c:dLblPos val="outEnd"/>
          <c:showLegendKey val="0"/>
          <c:showVal val="1"/>
          <c:showCatName val="0"/>
          <c:showSerName val="0"/>
          <c:showPercent val="0"/>
          <c:showBubbleSize val="0"/>
        </c:dLbls>
        <c:gapWidth val="219"/>
        <c:overlap val="-27"/>
        <c:axId val="467746496"/>
        <c:axId val="474737640"/>
      </c:barChart>
      <c:catAx>
        <c:axId val="46774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737640"/>
        <c:crosses val="autoZero"/>
        <c:auto val="1"/>
        <c:lblAlgn val="ctr"/>
        <c:lblOffset val="100"/>
        <c:noMultiLvlLbl val="0"/>
      </c:catAx>
      <c:valAx>
        <c:axId val="474737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46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Binomial</a:t>
            </a:r>
            <a:r>
              <a:rPr lang="en-US" baseline="0"/>
              <a:t> Distribution</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'Binomial Distribution - Disc Q'!$B$3</c:f>
              <c:strCache>
                <c:ptCount val="1"/>
                <c:pt idx="0">
                  <c:v>Probablility</c:v>
                </c:pt>
              </c:strCache>
            </c:strRef>
          </c:tx>
          <c:spPr>
            <a:ln w="28575" cap="rnd">
              <a:solidFill>
                <a:schemeClr val="accent1"/>
              </a:solidFill>
              <a:round/>
            </a:ln>
            <a:effectLst/>
          </c:spPr>
          <c:marker>
            <c:symbol val="none"/>
          </c:marker>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Q'!$B$4:$B$24</c:f>
              <c:numCache>
                <c:formatCode>General</c:formatCode>
                <c:ptCount val="21"/>
                <c:pt idx="0">
                  <c:v>0.12157665459056925</c:v>
                </c:pt>
                <c:pt idx="1">
                  <c:v>0.27017034353459846</c:v>
                </c:pt>
                <c:pt idx="2">
                  <c:v>0.28517980706429835</c:v>
                </c:pt>
                <c:pt idx="3">
                  <c:v>0.19011987137619887</c:v>
                </c:pt>
                <c:pt idx="4">
                  <c:v>8.9778828149871717E-2</c:v>
                </c:pt>
                <c:pt idx="5">
                  <c:v>3.1921361119954368E-2</c:v>
                </c:pt>
                <c:pt idx="6">
                  <c:v>8.867044755542881E-3</c:v>
                </c:pt>
                <c:pt idx="7">
                  <c:v>1.9704543901206402E-3</c:v>
                </c:pt>
                <c:pt idx="8">
                  <c:v>3.5577648710511571E-4</c:v>
                </c:pt>
                <c:pt idx="9">
                  <c:v>5.2707627719276334E-5</c:v>
                </c:pt>
                <c:pt idx="10">
                  <c:v>6.442043387911556E-6</c:v>
                </c:pt>
                <c:pt idx="11">
                  <c:v>6.5071145332439828E-7</c:v>
                </c:pt>
                <c:pt idx="12">
                  <c:v>5.4225954443699969E-8</c:v>
                </c:pt>
                <c:pt idx="13">
                  <c:v>3.7077575688000076E-9</c:v>
                </c:pt>
                <c:pt idx="14">
                  <c:v>2.0598653159999975E-10</c:v>
                </c:pt>
                <c:pt idx="15">
                  <c:v>9.1549569599999907E-12</c:v>
                </c:pt>
                <c:pt idx="16">
                  <c:v>3.1788045000000092E-13</c:v>
                </c:pt>
                <c:pt idx="17">
                  <c:v>8.3106000000000242E-15</c:v>
                </c:pt>
                <c:pt idx="18">
                  <c:v>1.5390000000000012E-16</c:v>
                </c:pt>
                <c:pt idx="19">
                  <c:v>1.7999999999999935E-18</c:v>
                </c:pt>
                <c:pt idx="20">
                  <c:v>1.0000000000000063E-20</c:v>
                </c:pt>
              </c:numCache>
            </c:numRef>
          </c:val>
          <c:smooth val="0"/>
          <c:extLst>
            <c:ext xmlns:c16="http://schemas.microsoft.com/office/drawing/2014/chart" uri="{C3380CC4-5D6E-409C-BE32-E72D297353CC}">
              <c16:uniqueId val="{00000000-72E1-4A59-9D90-2B1D661036BC}"/>
            </c:ext>
          </c:extLst>
        </c:ser>
        <c:ser>
          <c:idx val="1"/>
          <c:order val="1"/>
          <c:tx>
            <c:strRef>
              <c:f>'Binomial Distribution - Disc Q'!$C$3</c:f>
              <c:strCache>
                <c:ptCount val="1"/>
                <c:pt idx="0">
                  <c:v>Probability Cumulative</c:v>
                </c:pt>
              </c:strCache>
            </c:strRef>
          </c:tx>
          <c:spPr>
            <a:ln w="28575" cap="rnd">
              <a:solidFill>
                <a:schemeClr val="accent2"/>
              </a:solidFill>
              <a:round/>
            </a:ln>
            <a:effectLst/>
          </c:spPr>
          <c:marker>
            <c:symbol val="none"/>
          </c:marker>
          <c:cat>
            <c:numRef>
              <c:f>'Binomial Distribution - Disc Q'!$A$4:$A$24</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'Binomial Distribution - Disc Q'!$C$4:$C$24</c:f>
              <c:numCache>
                <c:formatCode>General</c:formatCode>
                <c:ptCount val="21"/>
                <c:pt idx="0">
                  <c:v>0.12157665459056925</c:v>
                </c:pt>
                <c:pt idx="1">
                  <c:v>0.39174699812516767</c:v>
                </c:pt>
                <c:pt idx="2">
                  <c:v>0.67692680518946591</c:v>
                </c:pt>
                <c:pt idx="3">
                  <c:v>0.86704667656566503</c:v>
                </c:pt>
                <c:pt idx="4">
                  <c:v>0.95682550471553662</c:v>
                </c:pt>
                <c:pt idx="5">
                  <c:v>0.98874686583549098</c:v>
                </c:pt>
                <c:pt idx="6">
                  <c:v>0.99761391059103388</c:v>
                </c:pt>
                <c:pt idx="7">
                  <c:v>0.99958436498115455</c:v>
                </c:pt>
                <c:pt idx="8">
                  <c:v>0.9999401414682596</c:v>
                </c:pt>
                <c:pt idx="9">
                  <c:v>0.99999284909597885</c:v>
                </c:pt>
                <c:pt idx="10">
                  <c:v>0.99999929113936681</c:v>
                </c:pt>
                <c:pt idx="11">
                  <c:v>0.99999994185082008</c:v>
                </c:pt>
                <c:pt idx="12">
                  <c:v>0.99999999607677459</c:v>
                </c:pt>
                <c:pt idx="13">
                  <c:v>0.99999999978453213</c:v>
                </c:pt>
                <c:pt idx="14">
                  <c:v>0.9999999999905187</c:v>
                </c:pt>
                <c:pt idx="15">
                  <c:v>0.99999999999967359</c:v>
                </c:pt>
                <c:pt idx="16">
                  <c:v>0.99999999999999156</c:v>
                </c:pt>
                <c:pt idx="17">
                  <c:v>0.99999999999999978</c:v>
                </c:pt>
                <c:pt idx="18">
                  <c:v>1</c:v>
                </c:pt>
                <c:pt idx="19">
                  <c:v>1</c:v>
                </c:pt>
                <c:pt idx="20">
                  <c:v>1</c:v>
                </c:pt>
              </c:numCache>
            </c:numRef>
          </c:val>
          <c:smooth val="0"/>
          <c:extLst>
            <c:ext xmlns:c16="http://schemas.microsoft.com/office/drawing/2014/chart" uri="{C3380CC4-5D6E-409C-BE32-E72D297353CC}">
              <c16:uniqueId val="{00000001-72E1-4A59-9D90-2B1D661036BC}"/>
            </c:ext>
          </c:extLst>
        </c:ser>
        <c:dLbls>
          <c:showLegendKey val="0"/>
          <c:showVal val="0"/>
          <c:showCatName val="0"/>
          <c:showSerName val="0"/>
          <c:showPercent val="0"/>
          <c:showBubbleSize val="0"/>
        </c:dLbls>
        <c:smooth val="0"/>
        <c:axId val="607119304"/>
        <c:axId val="607116352"/>
      </c:lineChart>
      <c:catAx>
        <c:axId val="607119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6352"/>
        <c:crosses val="autoZero"/>
        <c:auto val="1"/>
        <c:lblAlgn val="ctr"/>
        <c:lblOffset val="100"/>
        <c:noMultiLvlLbl val="0"/>
      </c:catAx>
      <c:valAx>
        <c:axId val="607116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11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1664260717410319E-2"/>
          <c:y val="0.1244160583941606"/>
          <c:w val="0.88389129483814521"/>
          <c:h val="0.77996982585206043"/>
        </c:manualLayout>
      </c:layout>
      <c:lineChart>
        <c:grouping val="standard"/>
        <c:varyColors val="0"/>
        <c:ser>
          <c:idx val="0"/>
          <c:order val="0"/>
          <c:tx>
            <c:strRef>
              <c:f>'Poisson Distribution'!$C$4</c:f>
              <c:strCache>
                <c:ptCount val="1"/>
                <c:pt idx="0">
                  <c:v>Probablility</c:v>
                </c:pt>
              </c:strCache>
            </c:strRef>
          </c:tx>
          <c:spPr>
            <a:ln w="28575" cap="rnd">
              <a:solidFill>
                <a:schemeClr val="accent1"/>
              </a:solidFill>
              <a:round/>
            </a:ln>
            <a:effectLst/>
          </c:spPr>
          <c:marker>
            <c:symbol val="none"/>
          </c:marker>
          <c:cat>
            <c:numRef>
              <c:f>'Poisson Distribution'!$B$5:$B$15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'Poisson Distribution'!$C$5:$C$15</c:f>
              <c:numCache>
                <c:formatCode>General</c:formatCode>
                <c:ptCount val="11"/>
                <c:pt idx="0">
                  <c:v>4.9787068367863944E-2</c:v>
                </c:pt>
                <c:pt idx="1">
                  <c:v>0.14936120510359185</c:v>
                </c:pt>
                <c:pt idx="2">
                  <c:v>0.22404180765538775</c:v>
                </c:pt>
                <c:pt idx="3">
                  <c:v>0.22404180765538778</c:v>
                </c:pt>
                <c:pt idx="4">
                  <c:v>0.16803135574154085</c:v>
                </c:pt>
                <c:pt idx="5">
                  <c:v>0.10081881344492449</c:v>
                </c:pt>
                <c:pt idx="6">
                  <c:v>5.0409406722462261E-2</c:v>
                </c:pt>
                <c:pt idx="7">
                  <c:v>2.1604031452483807E-2</c:v>
                </c:pt>
                <c:pt idx="8">
                  <c:v>8.1015117946814375E-3</c:v>
                </c:pt>
                <c:pt idx="9">
                  <c:v>2.7005039315604771E-3</c:v>
                </c:pt>
                <c:pt idx="10">
                  <c:v>8.1015117946814244E-4</c:v>
                </c:pt>
              </c:numCache>
            </c:numRef>
          </c:val>
          <c:smooth val="0"/>
          <c:extLst>
            <c:ext xmlns:c16="http://schemas.microsoft.com/office/drawing/2014/chart" uri="{C3380CC4-5D6E-409C-BE32-E72D297353CC}">
              <c16:uniqueId val="{00000000-EADE-4683-937E-7D8F7CBD520D}"/>
            </c:ext>
          </c:extLst>
        </c:ser>
        <c:dLbls>
          <c:showLegendKey val="0"/>
          <c:showVal val="0"/>
          <c:showCatName val="0"/>
          <c:showSerName val="0"/>
          <c:showPercent val="0"/>
          <c:showBubbleSize val="0"/>
        </c:dLbls>
        <c:marker val="1"/>
        <c:smooth val="0"/>
        <c:axId val="487632848"/>
        <c:axId val="487633176"/>
      </c:lineChart>
      <c:lineChart>
        <c:grouping val="standard"/>
        <c:varyColors val="0"/>
        <c:ser>
          <c:idx val="1"/>
          <c:order val="1"/>
          <c:tx>
            <c:strRef>
              <c:f>'Poisson Distribution'!$D$4</c:f>
              <c:strCache>
                <c:ptCount val="1"/>
                <c:pt idx="0">
                  <c:v>Probability Cumulative </c:v>
                </c:pt>
              </c:strCache>
            </c:strRef>
          </c:tx>
          <c:spPr>
            <a:ln w="28575" cap="rnd">
              <a:solidFill>
                <a:schemeClr val="accent2"/>
              </a:solidFill>
              <a:round/>
            </a:ln>
            <a:effectLst/>
          </c:spPr>
          <c:marker>
            <c:symbol val="none"/>
          </c:marker>
          <c:cat>
            <c:numRef>
              <c:f>'Poisson Distribution'!$B$5:$B$15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'Poisson Distribution'!$D$5:$D$15</c:f>
              <c:numCache>
                <c:formatCode>General</c:formatCode>
                <c:ptCount val="11"/>
                <c:pt idx="0">
                  <c:v>4.9787068367863944E-2</c:v>
                </c:pt>
                <c:pt idx="1">
                  <c:v>0.19914827347145578</c:v>
                </c:pt>
                <c:pt idx="2">
                  <c:v>0.42319008112684342</c:v>
                </c:pt>
                <c:pt idx="3">
                  <c:v>0.64723188878223126</c:v>
                </c:pt>
                <c:pt idx="4">
                  <c:v>0.81526324452377208</c:v>
                </c:pt>
                <c:pt idx="5">
                  <c:v>0.91608205796869657</c:v>
                </c:pt>
                <c:pt idx="6">
                  <c:v>0.96649146469115887</c:v>
                </c:pt>
                <c:pt idx="7">
                  <c:v>0.98809549614364256</c:v>
                </c:pt>
                <c:pt idx="8">
                  <c:v>0.996197007938324</c:v>
                </c:pt>
                <c:pt idx="9">
                  <c:v>0.99889751186988451</c:v>
                </c:pt>
                <c:pt idx="10">
                  <c:v>0.99970766304935266</c:v>
                </c:pt>
              </c:numCache>
            </c:numRef>
          </c:val>
          <c:smooth val="1"/>
          <c:extLst>
            <c:ext xmlns:c16="http://schemas.microsoft.com/office/drawing/2014/chart" uri="{C3380CC4-5D6E-409C-BE32-E72D297353CC}">
              <c16:uniqueId val="{00000002-EADE-4683-937E-7D8F7CBD520D}"/>
            </c:ext>
          </c:extLst>
        </c:ser>
        <c:dLbls>
          <c:showLegendKey val="0"/>
          <c:showVal val="0"/>
          <c:showCatName val="0"/>
          <c:showSerName val="0"/>
          <c:showPercent val="0"/>
          <c:showBubbleSize val="0"/>
        </c:dLbls>
        <c:marker val="1"/>
        <c:smooth val="0"/>
        <c:axId val="487118064"/>
        <c:axId val="602260048"/>
      </c:lineChart>
      <c:catAx>
        <c:axId val="48763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3176"/>
        <c:crosses val="autoZero"/>
        <c:auto val="1"/>
        <c:lblAlgn val="ctr"/>
        <c:lblOffset val="100"/>
        <c:noMultiLvlLbl val="0"/>
      </c:catAx>
      <c:valAx>
        <c:axId val="487633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632848"/>
        <c:crosses val="autoZero"/>
        <c:crossBetween val="between"/>
      </c:valAx>
      <c:valAx>
        <c:axId val="60226004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18064"/>
        <c:crosses val="max"/>
        <c:crossBetween val="between"/>
      </c:valAx>
      <c:catAx>
        <c:axId val="487118064"/>
        <c:scaling>
          <c:orientation val="minMax"/>
        </c:scaling>
        <c:delete val="1"/>
        <c:axPos val="b"/>
        <c:numFmt formatCode="General" sourceLinked="1"/>
        <c:majorTickMark val="out"/>
        <c:minorTickMark val="none"/>
        <c:tickLblPos val="nextTo"/>
        <c:crossAx val="602260048"/>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434975</xdr:colOff>
      <xdr:row>2</xdr:row>
      <xdr:rowOff>88900</xdr:rowOff>
    </xdr:from>
    <xdr:to>
      <xdr:col>12</xdr:col>
      <xdr:colOff>130175</xdr:colOff>
      <xdr:row>17</xdr:row>
      <xdr:rowOff>69850</xdr:rowOff>
    </xdr:to>
    <xdr:graphicFrame macro="">
      <xdr:nvGraphicFramePr>
        <xdr:cNvPr id="3" name="Chart 2">
          <a:extLst>
            <a:ext uri="{FF2B5EF4-FFF2-40B4-BE49-F238E27FC236}">
              <a16:creationId xmlns:a16="http://schemas.microsoft.com/office/drawing/2014/main" id="{9AF0A6BC-38F0-4D3F-905D-FD9517251D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17</xdr:row>
      <xdr:rowOff>317500</xdr:rowOff>
    </xdr:from>
    <xdr:to>
      <xdr:col>12</xdr:col>
      <xdr:colOff>104775</xdr:colOff>
      <xdr:row>31</xdr:row>
      <xdr:rowOff>114300</xdr:rowOff>
    </xdr:to>
    <xdr:graphicFrame macro="">
      <xdr:nvGraphicFramePr>
        <xdr:cNvPr id="2" name="Chart 1">
          <a:extLst>
            <a:ext uri="{FF2B5EF4-FFF2-40B4-BE49-F238E27FC236}">
              <a16:creationId xmlns:a16="http://schemas.microsoft.com/office/drawing/2014/main" id="{8B46255D-D457-4059-AF41-681FD78FE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434975</xdr:colOff>
      <xdr:row>2</xdr:row>
      <xdr:rowOff>88900</xdr:rowOff>
    </xdr:from>
    <xdr:to>
      <xdr:col>12</xdr:col>
      <xdr:colOff>130175</xdr:colOff>
      <xdr:row>17</xdr:row>
      <xdr:rowOff>69850</xdr:rowOff>
    </xdr:to>
    <xdr:graphicFrame macro="">
      <xdr:nvGraphicFramePr>
        <xdr:cNvPr id="2" name="Chart 1">
          <a:extLst>
            <a:ext uri="{FF2B5EF4-FFF2-40B4-BE49-F238E27FC236}">
              <a16:creationId xmlns:a16="http://schemas.microsoft.com/office/drawing/2014/main" id="{5E13289B-6741-42F2-AE99-74817F3EC9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409575</xdr:colOff>
      <xdr:row>18</xdr:row>
      <xdr:rowOff>63500</xdr:rowOff>
    </xdr:from>
    <xdr:to>
      <xdr:col>12</xdr:col>
      <xdr:colOff>104775</xdr:colOff>
      <xdr:row>31</xdr:row>
      <xdr:rowOff>177800</xdr:rowOff>
    </xdr:to>
    <xdr:graphicFrame macro="">
      <xdr:nvGraphicFramePr>
        <xdr:cNvPr id="3" name="Chart 2">
          <a:extLst>
            <a:ext uri="{FF2B5EF4-FFF2-40B4-BE49-F238E27FC236}">
              <a16:creationId xmlns:a16="http://schemas.microsoft.com/office/drawing/2014/main" id="{B7CEDDB5-1ABE-44D3-A4B3-B457BE80C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454025</xdr:colOff>
      <xdr:row>0</xdr:row>
      <xdr:rowOff>171450</xdr:rowOff>
    </xdr:from>
    <xdr:to>
      <xdr:col>14</xdr:col>
      <xdr:colOff>149225</xdr:colOff>
      <xdr:row>15</xdr:row>
      <xdr:rowOff>152400</xdr:rowOff>
    </xdr:to>
    <xdr:graphicFrame macro="">
      <xdr:nvGraphicFramePr>
        <xdr:cNvPr id="2" name="Chart 1">
          <a:extLst>
            <a:ext uri="{FF2B5EF4-FFF2-40B4-BE49-F238E27FC236}">
              <a16:creationId xmlns:a16="http://schemas.microsoft.com/office/drawing/2014/main" id="{E878B7E1-75DB-4DF5-A09A-A010332B7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2D56F-8AF0-4B37-A7CC-76F97EAA65D8}">
  <dimension ref="A3:C20"/>
  <sheetViews>
    <sheetView topLeftCell="A188" workbookViewId="0">
      <selection activeCell="A188" sqref="A188"/>
    </sheetView>
  </sheetViews>
  <sheetFormatPr defaultRowHeight="14.5" x14ac:dyDescent="0.35"/>
  <cols>
    <col min="1" max="2" width="18.81640625" customWidth="1"/>
    <col min="3" max="3" width="20.7265625" customWidth="1"/>
  </cols>
  <sheetData>
    <row r="3" spans="1:3" x14ac:dyDescent="0.35">
      <c r="A3" s="5" t="s">
        <v>0</v>
      </c>
      <c r="B3" s="4" t="s">
        <v>1</v>
      </c>
      <c r="C3" s="4" t="s">
        <v>2</v>
      </c>
    </row>
    <row r="4" spans="1:3" x14ac:dyDescent="0.35">
      <c r="A4" s="1">
        <v>0</v>
      </c>
      <c r="B4" s="1">
        <f>_xlfn.BINOM.DIST(A4, 7,0.6, FALSE)</f>
        <v>1.638400000000001E-3</v>
      </c>
      <c r="C4" s="1">
        <f>_xlfn.BINOM.DIST(A4, 7,0.6, TRUE)</f>
        <v>1.638400000000001E-3</v>
      </c>
    </row>
    <row r="5" spans="1:3" x14ac:dyDescent="0.35">
      <c r="A5" s="1">
        <v>1</v>
      </c>
      <c r="B5" s="1">
        <f t="shared" ref="B5:B11" si="0">_xlfn.BINOM.DIST(A5, 7,0.6, FALSE)</f>
        <v>1.7203199999999991E-2</v>
      </c>
      <c r="C5" s="1">
        <f t="shared" ref="C5:C11" si="1">_xlfn.BINOM.DIST(A5, 7,0.6, TRUE)</f>
        <v>1.884160000000001E-2</v>
      </c>
    </row>
    <row r="6" spans="1:3" x14ac:dyDescent="0.35">
      <c r="A6" s="1">
        <v>2</v>
      </c>
      <c r="B6" s="1">
        <f t="shared" si="0"/>
        <v>7.7414400000000008E-2</v>
      </c>
      <c r="C6" s="1">
        <f t="shared" si="1"/>
        <v>9.6256000000000036E-2</v>
      </c>
    </row>
    <row r="7" spans="1:3" x14ac:dyDescent="0.35">
      <c r="A7" s="1">
        <v>3</v>
      </c>
      <c r="B7" s="1">
        <f t="shared" si="0"/>
        <v>0.19353600000000004</v>
      </c>
      <c r="C7" s="1">
        <f t="shared" si="1"/>
        <v>0.28979200000000005</v>
      </c>
    </row>
    <row r="8" spans="1:3" x14ac:dyDescent="0.35">
      <c r="A8" s="1">
        <v>4</v>
      </c>
      <c r="B8" s="1">
        <f t="shared" si="0"/>
        <v>0.29030400000000001</v>
      </c>
      <c r="C8" s="1">
        <f t="shared" si="1"/>
        <v>0.58009600000000017</v>
      </c>
    </row>
    <row r="9" spans="1:3" x14ac:dyDescent="0.35">
      <c r="A9" s="1">
        <v>5</v>
      </c>
      <c r="B9" s="1">
        <f t="shared" si="0"/>
        <v>0.26127359999999999</v>
      </c>
      <c r="C9" s="1">
        <f t="shared" si="1"/>
        <v>0.84136960000000005</v>
      </c>
    </row>
    <row r="10" spans="1:3" x14ac:dyDescent="0.35">
      <c r="A10" s="1">
        <v>6</v>
      </c>
      <c r="B10" s="1">
        <f t="shared" si="0"/>
        <v>0.1306368</v>
      </c>
      <c r="C10" s="1">
        <f t="shared" si="1"/>
        <v>0.97200639999999994</v>
      </c>
    </row>
    <row r="11" spans="1:3" x14ac:dyDescent="0.35">
      <c r="A11" s="1">
        <v>7</v>
      </c>
      <c r="B11" s="1">
        <f t="shared" si="0"/>
        <v>2.7993599999999987E-2</v>
      </c>
      <c r="C11" s="1">
        <f t="shared" si="1"/>
        <v>1</v>
      </c>
    </row>
    <row r="12" spans="1:3" x14ac:dyDescent="0.35">
      <c r="A12" s="2"/>
      <c r="B12" s="2"/>
    </row>
    <row r="13" spans="1:3" x14ac:dyDescent="0.35">
      <c r="A13" s="2"/>
      <c r="B13" s="2"/>
    </row>
    <row r="14" spans="1:3" x14ac:dyDescent="0.35">
      <c r="A14" s="2" t="s">
        <v>3</v>
      </c>
      <c r="B14" s="2"/>
    </row>
    <row r="15" spans="1:3" x14ac:dyDescent="0.35">
      <c r="A15" s="2"/>
      <c r="B15" s="2"/>
    </row>
    <row r="16" spans="1:3" x14ac:dyDescent="0.35">
      <c r="A16" t="s">
        <v>4</v>
      </c>
      <c r="B16" s="2">
        <f>_xlfn.POISSON.DIST(4,3,0)</f>
        <v>0.16803135574154085</v>
      </c>
    </row>
    <row r="17" spans="1:2" x14ac:dyDescent="0.35">
      <c r="A17" s="2" t="s">
        <v>5</v>
      </c>
      <c r="B17" s="2"/>
    </row>
    <row r="18" spans="1:2" ht="43.5" x14ac:dyDescent="0.35">
      <c r="A18" s="3" t="s">
        <v>6</v>
      </c>
      <c r="B18" s="2">
        <f>1-_xlfn.POISSON.DIST(3,3,TRUE)</f>
        <v>0.35276811121776874</v>
      </c>
    </row>
    <row r="19" spans="1:2" x14ac:dyDescent="0.35">
      <c r="A19" s="2"/>
      <c r="B19" s="2"/>
    </row>
    <row r="20" spans="1:2" x14ac:dyDescent="0.35">
      <c r="A20" s="2"/>
      <c r="B20" s="2"/>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C698A-83F5-4445-9365-EB84FFBB4673}">
  <dimension ref="A1:K167"/>
  <sheetViews>
    <sheetView topLeftCell="A188" workbookViewId="0">
      <selection activeCell="C198" sqref="C198"/>
    </sheetView>
  </sheetViews>
  <sheetFormatPr defaultRowHeight="14.5" x14ac:dyDescent="0.35"/>
  <cols>
    <col min="1" max="1" width="18.81640625" customWidth="1"/>
    <col min="2" max="11" width="20.7265625" customWidth="1"/>
  </cols>
  <sheetData>
    <row r="1" spans="1:5" ht="72.5" customHeight="1" x14ac:dyDescent="0.35">
      <c r="A1" t="s">
        <v>17</v>
      </c>
      <c r="B1" s="19" t="s">
        <v>18</v>
      </c>
      <c r="C1" s="19"/>
      <c r="D1" s="19"/>
      <c r="E1" s="19"/>
    </row>
    <row r="3" spans="1:5" x14ac:dyDescent="0.35">
      <c r="A3" s="5" t="s">
        <v>0</v>
      </c>
      <c r="B3" s="4" t="s">
        <v>1</v>
      </c>
      <c r="C3" s="4" t="s">
        <v>2</v>
      </c>
    </row>
    <row r="4" spans="1:5" x14ac:dyDescent="0.35">
      <c r="A4" s="1">
        <v>0</v>
      </c>
      <c r="B4" s="1">
        <f t="shared" ref="B4:B24" si="0">_xlfn.BINOM.DIST(A4, 20,0.1, FALSE)</f>
        <v>0.12157665459056925</v>
      </c>
      <c r="C4" s="1">
        <f t="shared" ref="C4:C24" si="1">_xlfn.BINOM.DIST(A4, 20,0.1, TRUE)</f>
        <v>0.12157665459056925</v>
      </c>
    </row>
    <row r="5" spans="1:5" x14ac:dyDescent="0.35">
      <c r="A5" s="1">
        <v>1</v>
      </c>
      <c r="B5" s="1">
        <f t="shared" si="0"/>
        <v>0.27017034353459846</v>
      </c>
      <c r="C5" s="1">
        <f t="shared" si="1"/>
        <v>0.39174699812516767</v>
      </c>
    </row>
    <row r="6" spans="1:5" x14ac:dyDescent="0.35">
      <c r="A6" s="1">
        <v>2</v>
      </c>
      <c r="B6" s="1">
        <f t="shared" si="0"/>
        <v>0.28517980706429835</v>
      </c>
      <c r="C6" s="1">
        <f t="shared" si="1"/>
        <v>0.67692680518946591</v>
      </c>
    </row>
    <row r="7" spans="1:5" x14ac:dyDescent="0.35">
      <c r="A7" s="1">
        <v>3</v>
      </c>
      <c r="B7" s="1">
        <f t="shared" si="0"/>
        <v>0.19011987137619887</v>
      </c>
      <c r="C7" s="1">
        <f t="shared" si="1"/>
        <v>0.86704667656566503</v>
      </c>
    </row>
    <row r="8" spans="1:5" x14ac:dyDescent="0.35">
      <c r="A8" s="1">
        <v>4</v>
      </c>
      <c r="B8" s="1">
        <f t="shared" si="0"/>
        <v>8.9778828149871717E-2</v>
      </c>
      <c r="C8" s="1">
        <f t="shared" si="1"/>
        <v>0.95682550471553662</v>
      </c>
    </row>
    <row r="9" spans="1:5" x14ac:dyDescent="0.35">
      <c r="A9" s="1">
        <v>5</v>
      </c>
      <c r="B9" s="1">
        <f t="shared" si="0"/>
        <v>3.1921361119954368E-2</v>
      </c>
      <c r="C9" s="1">
        <f t="shared" si="1"/>
        <v>0.98874686583549098</v>
      </c>
    </row>
    <row r="10" spans="1:5" x14ac:dyDescent="0.35">
      <c r="A10" s="1">
        <v>6</v>
      </c>
      <c r="B10" s="1">
        <f t="shared" si="0"/>
        <v>8.867044755542881E-3</v>
      </c>
      <c r="C10" s="1">
        <f t="shared" si="1"/>
        <v>0.99761391059103388</v>
      </c>
    </row>
    <row r="11" spans="1:5" x14ac:dyDescent="0.35">
      <c r="A11" s="1">
        <v>7</v>
      </c>
      <c r="B11" s="1">
        <f t="shared" si="0"/>
        <v>1.9704543901206402E-3</v>
      </c>
      <c r="C11" s="1">
        <f t="shared" si="1"/>
        <v>0.99958436498115455</v>
      </c>
    </row>
    <row r="12" spans="1:5" x14ac:dyDescent="0.35">
      <c r="A12" s="1">
        <v>8</v>
      </c>
      <c r="B12" s="1">
        <f t="shared" si="0"/>
        <v>3.5577648710511571E-4</v>
      </c>
      <c r="C12" s="1">
        <f t="shared" si="1"/>
        <v>0.9999401414682596</v>
      </c>
    </row>
    <row r="13" spans="1:5" x14ac:dyDescent="0.35">
      <c r="A13" s="1">
        <v>9</v>
      </c>
      <c r="B13" s="1">
        <f t="shared" si="0"/>
        <v>5.2707627719276334E-5</v>
      </c>
      <c r="C13" s="1">
        <f t="shared" si="1"/>
        <v>0.99999284909597885</v>
      </c>
    </row>
    <row r="14" spans="1:5" x14ac:dyDescent="0.35">
      <c r="A14" s="1">
        <v>10</v>
      </c>
      <c r="B14" s="1">
        <f t="shared" si="0"/>
        <v>6.442043387911556E-6</v>
      </c>
      <c r="C14" s="1">
        <f t="shared" si="1"/>
        <v>0.99999929113936681</v>
      </c>
    </row>
    <row r="15" spans="1:5" x14ac:dyDescent="0.35">
      <c r="A15" s="1">
        <v>11</v>
      </c>
      <c r="B15" s="1">
        <f t="shared" si="0"/>
        <v>6.5071145332439828E-7</v>
      </c>
      <c r="C15" s="1">
        <f t="shared" si="1"/>
        <v>0.99999994185082008</v>
      </c>
    </row>
    <row r="16" spans="1:5" x14ac:dyDescent="0.35">
      <c r="A16" s="1">
        <v>12</v>
      </c>
      <c r="B16" s="1">
        <f t="shared" si="0"/>
        <v>5.4225954443699969E-8</v>
      </c>
      <c r="C16" s="1">
        <f t="shared" si="1"/>
        <v>0.99999999607677459</v>
      </c>
    </row>
    <row r="17" spans="1:3" x14ac:dyDescent="0.35">
      <c r="A17" s="1">
        <v>13</v>
      </c>
      <c r="B17" s="1">
        <f t="shared" si="0"/>
        <v>3.7077575688000076E-9</v>
      </c>
      <c r="C17" s="1">
        <f t="shared" si="1"/>
        <v>0.99999999978453213</v>
      </c>
    </row>
    <row r="18" spans="1:3" x14ac:dyDescent="0.35">
      <c r="A18" s="1">
        <v>14</v>
      </c>
      <c r="B18" s="1">
        <f t="shared" si="0"/>
        <v>2.0598653159999975E-10</v>
      </c>
      <c r="C18" s="1">
        <f t="shared" si="1"/>
        <v>0.9999999999905187</v>
      </c>
    </row>
    <row r="19" spans="1:3" x14ac:dyDescent="0.35">
      <c r="A19" s="1">
        <v>15</v>
      </c>
      <c r="B19" s="1">
        <f t="shared" si="0"/>
        <v>9.1549569599999907E-12</v>
      </c>
      <c r="C19" s="1">
        <f t="shared" si="1"/>
        <v>0.99999999999967359</v>
      </c>
    </row>
    <row r="20" spans="1:3" x14ac:dyDescent="0.35">
      <c r="A20" s="1">
        <v>16</v>
      </c>
      <c r="B20" s="1">
        <f t="shared" si="0"/>
        <v>3.1788045000000092E-13</v>
      </c>
      <c r="C20" s="1">
        <f t="shared" si="1"/>
        <v>0.99999999999999156</v>
      </c>
    </row>
    <row r="21" spans="1:3" x14ac:dyDescent="0.35">
      <c r="A21" s="1">
        <v>17</v>
      </c>
      <c r="B21" s="1">
        <f t="shared" si="0"/>
        <v>8.3106000000000242E-15</v>
      </c>
      <c r="C21" s="1">
        <f t="shared" si="1"/>
        <v>0.99999999999999978</v>
      </c>
    </row>
    <row r="22" spans="1:3" x14ac:dyDescent="0.35">
      <c r="A22" s="1">
        <v>18</v>
      </c>
      <c r="B22" s="1">
        <f t="shared" si="0"/>
        <v>1.5390000000000012E-16</v>
      </c>
      <c r="C22" s="1">
        <f t="shared" si="1"/>
        <v>1</v>
      </c>
    </row>
    <row r="23" spans="1:3" x14ac:dyDescent="0.35">
      <c r="A23" s="1">
        <v>19</v>
      </c>
      <c r="B23" s="1">
        <f t="shared" si="0"/>
        <v>1.7999999999999935E-18</v>
      </c>
      <c r="C23" s="1">
        <f t="shared" si="1"/>
        <v>1</v>
      </c>
    </row>
    <row r="24" spans="1:3" x14ac:dyDescent="0.35">
      <c r="A24" s="1">
        <v>20</v>
      </c>
      <c r="B24" s="1">
        <f t="shared" si="0"/>
        <v>1.0000000000000063E-20</v>
      </c>
      <c r="C24" s="1">
        <f t="shared" si="1"/>
        <v>1</v>
      </c>
    </row>
    <row r="27" spans="1:3" x14ac:dyDescent="0.35">
      <c r="A27" s="2" t="s">
        <v>20</v>
      </c>
      <c r="B27" s="2">
        <f>1-C4</f>
        <v>0.87842334540943079</v>
      </c>
    </row>
    <row r="28" spans="1:3" x14ac:dyDescent="0.35">
      <c r="A28" s="2"/>
      <c r="B28" s="7" t="s">
        <v>21</v>
      </c>
    </row>
    <row r="29" spans="1:3" x14ac:dyDescent="0.35">
      <c r="B29" s="2"/>
    </row>
    <row r="30" spans="1:3" x14ac:dyDescent="0.35">
      <c r="A30" s="2"/>
      <c r="B30" s="2"/>
    </row>
    <row r="31" spans="1:3" x14ac:dyDescent="0.35">
      <c r="A31" s="3"/>
      <c r="B31" s="2"/>
    </row>
    <row r="32" spans="1:3" x14ac:dyDescent="0.35">
      <c r="A32" s="2"/>
      <c r="B32" s="2"/>
    </row>
    <row r="33" spans="1:6" x14ac:dyDescent="0.35">
      <c r="A33" s="2"/>
      <c r="B33" s="2"/>
    </row>
    <row r="37" spans="1:6" x14ac:dyDescent="0.35">
      <c r="B37" s="21" t="s">
        <v>19</v>
      </c>
      <c r="C37" s="21"/>
      <c r="D37" s="21"/>
      <c r="E37" s="21"/>
    </row>
    <row r="38" spans="1:6" x14ac:dyDescent="0.35">
      <c r="B38" s="21"/>
      <c r="C38" s="21"/>
      <c r="D38" s="21"/>
      <c r="E38" s="21"/>
    </row>
    <row r="39" spans="1:6" x14ac:dyDescent="0.35">
      <c r="B39" s="21"/>
      <c r="C39" s="21"/>
      <c r="D39" s="21"/>
      <c r="E39" s="21"/>
    </row>
    <row r="41" spans="1:6" x14ac:dyDescent="0.35">
      <c r="B41">
        <f>0.1 *20</f>
        <v>2</v>
      </c>
    </row>
    <row r="45" spans="1:6" ht="75.5" customHeight="1" x14ac:dyDescent="0.35">
      <c r="A45" s="21" t="s">
        <v>33</v>
      </c>
      <c r="B45" s="21"/>
      <c r="C45" s="21"/>
      <c r="D45" s="21"/>
      <c r="E45" s="21"/>
      <c r="F45" s="21"/>
    </row>
    <row r="48" spans="1:6" x14ac:dyDescent="0.35">
      <c r="B48" s="5" t="s">
        <v>0</v>
      </c>
      <c r="C48" s="4" t="s">
        <v>1</v>
      </c>
      <c r="D48" s="1" t="s">
        <v>34</v>
      </c>
    </row>
    <row r="49" spans="2:4" x14ac:dyDescent="0.35">
      <c r="B49" s="1">
        <v>0</v>
      </c>
      <c r="C49" s="1">
        <f t="shared" ref="C49:C64" si="2">_xlfn.BINOM.DIST(B49, 15,0.6, FALSE)</f>
        <v>1.0737418240000003E-6</v>
      </c>
      <c r="D49" s="1">
        <f t="shared" ref="D49:D64" si="3">C49*100</f>
        <v>1.0737418240000003E-4</v>
      </c>
    </row>
    <row r="50" spans="2:4" x14ac:dyDescent="0.35">
      <c r="B50" s="1">
        <v>1</v>
      </c>
      <c r="C50" s="1">
        <f t="shared" si="2"/>
        <v>2.4159191039999989E-5</v>
      </c>
      <c r="D50" s="1">
        <f t="shared" si="3"/>
        <v>2.415919103999999E-3</v>
      </c>
    </row>
    <row r="51" spans="2:4" x14ac:dyDescent="0.35">
      <c r="B51" s="1">
        <v>2</v>
      </c>
      <c r="C51" s="1">
        <f t="shared" si="2"/>
        <v>2.5367150592000036E-4</v>
      </c>
      <c r="D51" s="1">
        <f t="shared" si="3"/>
        <v>2.5367150592000037E-2</v>
      </c>
    </row>
    <row r="52" spans="2:4" x14ac:dyDescent="0.35">
      <c r="B52" s="1">
        <v>3</v>
      </c>
      <c r="C52" s="1">
        <f t="shared" si="2"/>
        <v>1.6488647884800021E-3</v>
      </c>
      <c r="D52" s="1">
        <f t="shared" si="3"/>
        <v>0.1648864788480002</v>
      </c>
    </row>
    <row r="53" spans="2:4" x14ac:dyDescent="0.35">
      <c r="B53" s="1">
        <v>4</v>
      </c>
      <c r="C53" s="1">
        <f t="shared" si="2"/>
        <v>7.4198915481600049E-3</v>
      </c>
      <c r="D53" s="1">
        <f t="shared" si="3"/>
        <v>0.74198915481600047</v>
      </c>
    </row>
    <row r="54" spans="2:4" x14ac:dyDescent="0.35">
      <c r="B54" s="1">
        <v>5</v>
      </c>
      <c r="C54" s="1">
        <f t="shared" si="2"/>
        <v>2.4485642108927997E-2</v>
      </c>
      <c r="D54" s="1">
        <f t="shared" si="3"/>
        <v>2.4485642108927999</v>
      </c>
    </row>
    <row r="55" spans="2:4" x14ac:dyDescent="0.35">
      <c r="B55" s="1">
        <v>6</v>
      </c>
      <c r="C55" s="1">
        <f t="shared" si="2"/>
        <v>6.1214105272319956E-2</v>
      </c>
      <c r="D55" s="1">
        <f t="shared" si="3"/>
        <v>6.1214105272319959</v>
      </c>
    </row>
    <row r="56" spans="2:4" x14ac:dyDescent="0.35">
      <c r="B56" s="1">
        <v>7</v>
      </c>
      <c r="C56" s="1">
        <f t="shared" si="2"/>
        <v>0.11805577445376</v>
      </c>
      <c r="D56" s="1">
        <f t="shared" si="3"/>
        <v>11.805577445376001</v>
      </c>
    </row>
    <row r="57" spans="2:4" x14ac:dyDescent="0.35">
      <c r="B57" s="10">
        <v>8</v>
      </c>
      <c r="C57" s="10">
        <f t="shared" si="2"/>
        <v>0.17708366168064005</v>
      </c>
      <c r="D57" s="10">
        <f t="shared" si="3"/>
        <v>17.708366168064003</v>
      </c>
    </row>
    <row r="58" spans="2:4" x14ac:dyDescent="0.35">
      <c r="B58" s="1">
        <v>9</v>
      </c>
      <c r="C58" s="1">
        <f t="shared" si="2"/>
        <v>0.20659760529407997</v>
      </c>
      <c r="D58" s="1">
        <f t="shared" si="3"/>
        <v>20.659760529407997</v>
      </c>
    </row>
    <row r="59" spans="2:4" x14ac:dyDescent="0.35">
      <c r="B59" s="1">
        <v>10</v>
      </c>
      <c r="C59" s="1">
        <f t="shared" si="2"/>
        <v>0.18593784476467201</v>
      </c>
      <c r="D59" s="1">
        <f t="shared" si="3"/>
        <v>18.593784476467199</v>
      </c>
    </row>
    <row r="60" spans="2:4" x14ac:dyDescent="0.35">
      <c r="B60" s="1">
        <v>11</v>
      </c>
      <c r="C60" s="1">
        <f t="shared" si="2"/>
        <v>0.12677580324864002</v>
      </c>
      <c r="D60" s="1">
        <f t="shared" si="3"/>
        <v>12.677580324864001</v>
      </c>
    </row>
    <row r="61" spans="2:4" x14ac:dyDescent="0.35">
      <c r="B61" s="1">
        <v>12</v>
      </c>
      <c r="C61" s="1">
        <f t="shared" si="2"/>
        <v>6.3387901624319995E-2</v>
      </c>
      <c r="D61" s="1">
        <f t="shared" si="3"/>
        <v>6.3387901624319998</v>
      </c>
    </row>
    <row r="62" spans="2:4" x14ac:dyDescent="0.35">
      <c r="B62" s="1">
        <v>13</v>
      </c>
      <c r="C62" s="1">
        <f t="shared" si="2"/>
        <v>2.1941965946880023E-2</v>
      </c>
      <c r="D62" s="1">
        <f t="shared" si="3"/>
        <v>2.1941965946880022</v>
      </c>
    </row>
    <row r="63" spans="2:4" x14ac:dyDescent="0.35">
      <c r="B63" s="1">
        <v>14</v>
      </c>
      <c r="C63" s="1">
        <f t="shared" si="2"/>
        <v>4.7018498457599986E-3</v>
      </c>
      <c r="D63" s="1">
        <f t="shared" si="3"/>
        <v>0.47018498457599989</v>
      </c>
    </row>
    <row r="64" spans="2:4" x14ac:dyDescent="0.35">
      <c r="B64" s="10">
        <v>15</v>
      </c>
      <c r="C64" s="10">
        <f t="shared" si="2"/>
        <v>4.7018498457599962E-4</v>
      </c>
      <c r="D64" s="10">
        <f t="shared" si="3"/>
        <v>4.7018498457599964E-2</v>
      </c>
    </row>
    <row r="68" spans="1:11" ht="92" customHeight="1" x14ac:dyDescent="0.35">
      <c r="A68" s="21" t="s">
        <v>35</v>
      </c>
      <c r="B68" s="21"/>
      <c r="C68" s="21"/>
      <c r="D68" s="21"/>
      <c r="E68" s="21"/>
      <c r="F68" s="21"/>
    </row>
    <row r="71" spans="1:11" ht="29" x14ac:dyDescent="0.35">
      <c r="B71" s="5" t="s">
        <v>0</v>
      </c>
      <c r="C71" s="12" t="s">
        <v>38</v>
      </c>
      <c r="D71" s="4" t="s">
        <v>34</v>
      </c>
      <c r="E71" s="12" t="s">
        <v>39</v>
      </c>
      <c r="F71" s="13" t="s">
        <v>40</v>
      </c>
      <c r="G71" s="14" t="s">
        <v>34</v>
      </c>
      <c r="H71" s="12" t="s">
        <v>39</v>
      </c>
      <c r="I71" s="12" t="s">
        <v>44</v>
      </c>
      <c r="J71" s="4" t="s">
        <v>34</v>
      </c>
      <c r="K71" s="12" t="s">
        <v>39</v>
      </c>
    </row>
    <row r="72" spans="1:11" x14ac:dyDescent="0.35">
      <c r="B72" s="1">
        <v>0</v>
      </c>
      <c r="C72" s="1">
        <f>_xlfn.BINOM.DIST($B72, 10,0.1, FALSE)</f>
        <v>0.34867844009999993</v>
      </c>
      <c r="D72" s="1">
        <f>C72*100</f>
        <v>34.867844009999992</v>
      </c>
      <c r="E72" s="1">
        <f>_xlfn.BINOM.DIST($B72,10,0.1,TRUE)</f>
        <v>0.34867844009999993</v>
      </c>
      <c r="F72" s="1">
        <f>_xlfn.BINOM.DIST(B72, 10,0.75, FALSE)</f>
        <v>9.5367431640625E-7</v>
      </c>
      <c r="G72" s="1">
        <f>F72*100</f>
        <v>9.5367431640625E-5</v>
      </c>
      <c r="H72" s="1">
        <f>_xlfn.BINOM.DIST($B72,10,0.75,TRUE)</f>
        <v>9.5367431640625E-7</v>
      </c>
      <c r="I72" s="1">
        <f>_xlfn.BINOM.DIST($B72, 10,0.05, FALSE)</f>
        <v>0.5987369392383789</v>
      </c>
      <c r="J72" s="1">
        <f>I72*100</f>
        <v>59.873693923837891</v>
      </c>
      <c r="K72" s="1">
        <f>_xlfn.BINOM.DIST($B72,10,0.05,TRUE)</f>
        <v>0.5987369392383789</v>
      </c>
    </row>
    <row r="73" spans="1:11" x14ac:dyDescent="0.35">
      <c r="B73" s="1">
        <v>1</v>
      </c>
      <c r="C73" s="1">
        <f t="shared" ref="C73:C82" si="4">_xlfn.BINOM.DIST($B73, 10,0.1, FALSE)</f>
        <v>0.38742048899999998</v>
      </c>
      <c r="D73" s="1">
        <f t="shared" ref="D73:D81" si="5">C73*100</f>
        <v>38.7420489</v>
      </c>
      <c r="E73" s="1">
        <f t="shared" ref="E73:E82" si="6">_xlfn.BINOM.DIST($B73,10,0.1,TRUE)</f>
        <v>0.73609892909999997</v>
      </c>
      <c r="F73" s="1">
        <f t="shared" ref="F73:F82" si="7">_xlfn.BINOM.DIST(B73, 10,0.75, FALSE)</f>
        <v>2.861022949218752E-5</v>
      </c>
      <c r="G73" s="1">
        <f t="shared" ref="G73:G82" si="8">F73*100</f>
        <v>2.8610229492187522E-3</v>
      </c>
      <c r="H73" s="1">
        <f t="shared" ref="H73:H82" si="9">_xlfn.BINOM.DIST($B73,10,0.75,TRUE)</f>
        <v>2.9563903808593753E-5</v>
      </c>
      <c r="I73" s="1">
        <f t="shared" ref="I73:I82" si="10">_xlfn.BINOM.DIST($B73, 10,0.05, FALSE)</f>
        <v>0.31512470486230471</v>
      </c>
      <c r="J73" s="1">
        <f t="shared" ref="J73:J82" si="11">I73*100</f>
        <v>31.51247048623047</v>
      </c>
      <c r="K73" s="1">
        <f t="shared" ref="K73:K82" si="12">_xlfn.BINOM.DIST($B73,10,0.05,TRUE)</f>
        <v>0.9138616441006836</v>
      </c>
    </row>
    <row r="74" spans="1:11" x14ac:dyDescent="0.35">
      <c r="B74" s="1">
        <v>2</v>
      </c>
      <c r="C74" s="1">
        <f t="shared" si="4"/>
        <v>0.19371024450000005</v>
      </c>
      <c r="D74" s="10">
        <f t="shared" si="5"/>
        <v>19.371024450000004</v>
      </c>
      <c r="E74" s="1">
        <f t="shared" si="6"/>
        <v>0.92980917360000004</v>
      </c>
      <c r="F74" s="1">
        <f t="shared" si="7"/>
        <v>3.8623809814453152E-4</v>
      </c>
      <c r="G74" s="1">
        <f t="shared" si="8"/>
        <v>3.8623809814453153E-2</v>
      </c>
      <c r="H74" s="1">
        <f t="shared" si="9"/>
        <v>4.1580200195312516E-4</v>
      </c>
      <c r="I74" s="1">
        <f t="shared" si="10"/>
        <v>7.4634798520019557E-2</v>
      </c>
      <c r="J74" s="1">
        <f t="shared" si="11"/>
        <v>7.4634798520019556</v>
      </c>
      <c r="K74" s="1">
        <f t="shared" si="12"/>
        <v>0.98849644262070302</v>
      </c>
    </row>
    <row r="75" spans="1:11" x14ac:dyDescent="0.35">
      <c r="B75" s="1">
        <v>3</v>
      </c>
      <c r="C75" s="1">
        <f t="shared" si="4"/>
        <v>5.739562799999999E-2</v>
      </c>
      <c r="D75" s="1">
        <f t="shared" si="5"/>
        <v>5.739562799999999</v>
      </c>
      <c r="E75" s="1">
        <f t="shared" si="6"/>
        <v>0.98720480160000001</v>
      </c>
      <c r="F75" s="1">
        <f t="shared" si="7"/>
        <v>3.0899047851562539E-3</v>
      </c>
      <c r="G75" s="1">
        <f t="shared" si="8"/>
        <v>0.30899047851562539</v>
      </c>
      <c r="H75" s="1">
        <f t="shared" si="9"/>
        <v>3.5057067871093772E-3</v>
      </c>
      <c r="I75" s="1">
        <f t="shared" si="10"/>
        <v>1.0475059441406248E-2</v>
      </c>
      <c r="J75" s="1">
        <f t="shared" si="11"/>
        <v>1.0475059441406249</v>
      </c>
      <c r="K75" s="1">
        <f t="shared" si="12"/>
        <v>0.99897150206210938</v>
      </c>
    </row>
    <row r="76" spans="1:11" x14ac:dyDescent="0.35">
      <c r="B76" s="1">
        <v>4</v>
      </c>
      <c r="C76" s="1">
        <f t="shared" si="4"/>
        <v>1.1160261000000003E-2</v>
      </c>
      <c r="D76" s="1">
        <f t="shared" si="5"/>
        <v>1.1160261000000002</v>
      </c>
      <c r="E76" s="1">
        <f t="shared" si="6"/>
        <v>0.99836506260000002</v>
      </c>
      <c r="F76" s="1">
        <f t="shared" si="7"/>
        <v>1.6222000122070326E-2</v>
      </c>
      <c r="G76" s="1">
        <f t="shared" si="8"/>
        <v>1.6222000122070326</v>
      </c>
      <c r="H76" s="1">
        <f t="shared" si="9"/>
        <v>1.9727706909179688E-2</v>
      </c>
      <c r="I76" s="1">
        <f t="shared" si="10"/>
        <v>9.6480810644531312E-4</v>
      </c>
      <c r="J76" s="1">
        <f t="shared" si="11"/>
        <v>9.6480810644531317E-2</v>
      </c>
      <c r="K76" s="1">
        <f t="shared" si="12"/>
        <v>0.99993631016855467</v>
      </c>
    </row>
    <row r="77" spans="1:11" x14ac:dyDescent="0.35">
      <c r="B77" s="1">
        <v>5</v>
      </c>
      <c r="C77" s="1">
        <f t="shared" si="4"/>
        <v>1.4880348000000001E-3</v>
      </c>
      <c r="D77" s="1">
        <f t="shared" si="5"/>
        <v>0.14880348000000002</v>
      </c>
      <c r="E77" s="1">
        <f t="shared" si="6"/>
        <v>0.99985309739999995</v>
      </c>
      <c r="F77" s="1">
        <f t="shared" si="7"/>
        <v>5.839920043945316E-2</v>
      </c>
      <c r="G77" s="1">
        <f t="shared" si="8"/>
        <v>5.8399200439453161</v>
      </c>
      <c r="H77" s="1">
        <f t="shared" si="9"/>
        <v>7.812690734863284E-2</v>
      </c>
      <c r="I77" s="1">
        <f t="shared" si="10"/>
        <v>6.0935248828124926E-5</v>
      </c>
      <c r="J77" s="1">
        <f t="shared" si="11"/>
        <v>6.0935248828124927E-3</v>
      </c>
      <c r="K77" s="1">
        <f t="shared" si="12"/>
        <v>0.99999724541738289</v>
      </c>
    </row>
    <row r="78" spans="1:11" x14ac:dyDescent="0.35">
      <c r="B78" s="1">
        <v>6</v>
      </c>
      <c r="C78" s="1">
        <f t="shared" si="4"/>
        <v>1.3778099999999988E-4</v>
      </c>
      <c r="D78" s="1">
        <f t="shared" si="5"/>
        <v>1.3778099999999988E-2</v>
      </c>
      <c r="E78" s="1">
        <f t="shared" si="6"/>
        <v>0.99999087840000001</v>
      </c>
      <c r="F78" s="1">
        <f t="shared" si="7"/>
        <v>0.14599800109863281</v>
      </c>
      <c r="G78" s="1">
        <f t="shared" si="8"/>
        <v>14.599800109863281</v>
      </c>
      <c r="H78" s="1">
        <f t="shared" si="9"/>
        <v>0.22412490844726568</v>
      </c>
      <c r="I78" s="1">
        <f t="shared" si="10"/>
        <v>2.6725986328124979E-6</v>
      </c>
      <c r="J78" s="1">
        <f t="shared" si="11"/>
        <v>2.6725986328124981E-4</v>
      </c>
      <c r="K78" s="1">
        <f t="shared" si="12"/>
        <v>0.99999991801601562</v>
      </c>
    </row>
    <row r="79" spans="1:11" x14ac:dyDescent="0.35">
      <c r="B79" s="1">
        <v>7</v>
      </c>
      <c r="C79" s="1">
        <f t="shared" si="4"/>
        <v>8.7480000000000084E-6</v>
      </c>
      <c r="D79" s="1">
        <f t="shared" si="5"/>
        <v>8.7480000000000088E-4</v>
      </c>
      <c r="E79" s="1">
        <f t="shared" si="6"/>
        <v>0.99999962639999995</v>
      </c>
      <c r="F79" s="1">
        <f t="shared" si="7"/>
        <v>0.25028228759765625</v>
      </c>
      <c r="G79" s="1">
        <f t="shared" si="8"/>
        <v>25.028228759765625</v>
      </c>
      <c r="H79" s="1">
        <f t="shared" si="9"/>
        <v>0.47440719604492199</v>
      </c>
      <c r="I79" s="1">
        <f t="shared" si="10"/>
        <v>8.0378906250000105E-8</v>
      </c>
      <c r="J79" s="1">
        <f t="shared" si="11"/>
        <v>8.0378906250000101E-6</v>
      </c>
      <c r="K79" s="1">
        <f t="shared" si="12"/>
        <v>0.99999999839492193</v>
      </c>
    </row>
    <row r="80" spans="1:11" x14ac:dyDescent="0.35">
      <c r="B80" s="1">
        <v>8</v>
      </c>
      <c r="C80" s="1">
        <f t="shared" si="4"/>
        <v>3.6450000000000065E-7</v>
      </c>
      <c r="D80" s="1">
        <f t="shared" si="5"/>
        <v>3.6450000000000066E-5</v>
      </c>
      <c r="E80" s="1">
        <f t="shared" si="6"/>
        <v>0.99999999090000002</v>
      </c>
      <c r="F80" s="1">
        <f t="shared" si="7"/>
        <v>0.28156757354736334</v>
      </c>
      <c r="G80" s="1">
        <f t="shared" si="8"/>
        <v>28.156757354736335</v>
      </c>
      <c r="H80" s="1">
        <f t="shared" si="9"/>
        <v>0.75597476959228516</v>
      </c>
      <c r="I80" s="1">
        <f t="shared" si="10"/>
        <v>1.5864257812500044E-9</v>
      </c>
      <c r="J80" s="1">
        <f t="shared" si="11"/>
        <v>1.5864257812500044E-7</v>
      </c>
      <c r="K80" s="1">
        <f t="shared" si="12"/>
        <v>0.99999999998134759</v>
      </c>
    </row>
    <row r="81" spans="1:11" x14ac:dyDescent="0.35">
      <c r="B81" s="1">
        <v>9</v>
      </c>
      <c r="C81" s="1">
        <f t="shared" si="4"/>
        <v>8.9999999999999962E-9</v>
      </c>
      <c r="D81" s="1">
        <f t="shared" si="5"/>
        <v>8.9999999999999964E-7</v>
      </c>
      <c r="E81" s="1">
        <f t="shared" si="6"/>
        <v>0.99999999989999999</v>
      </c>
      <c r="F81" s="1">
        <f t="shared" si="7"/>
        <v>0.18771171569824219</v>
      </c>
      <c r="G81" s="1">
        <f t="shared" si="8"/>
        <v>18.771171569824219</v>
      </c>
      <c r="H81" s="1">
        <f t="shared" si="9"/>
        <v>0.94368648529052734</v>
      </c>
      <c r="I81" s="1">
        <f t="shared" si="10"/>
        <v>1.8554687500000024E-11</v>
      </c>
      <c r="J81" s="1">
        <f t="shared" si="11"/>
        <v>1.8554687500000025E-9</v>
      </c>
      <c r="K81" s="1">
        <f t="shared" si="12"/>
        <v>0.9999999999999023</v>
      </c>
    </row>
    <row r="82" spans="1:11" x14ac:dyDescent="0.35">
      <c r="B82" s="1">
        <v>10</v>
      </c>
      <c r="C82" s="1">
        <f t="shared" si="4"/>
        <v>1.0000000000000031E-10</v>
      </c>
      <c r="D82" s="1">
        <f>C82*100</f>
        <v>1.0000000000000032E-8</v>
      </c>
      <c r="E82" s="1">
        <f t="shared" si="6"/>
        <v>1</v>
      </c>
      <c r="F82" s="1">
        <f t="shared" si="7"/>
        <v>5.6313514709472684E-2</v>
      </c>
      <c r="G82" s="1">
        <f t="shared" si="8"/>
        <v>5.6313514709472683</v>
      </c>
      <c r="H82" s="1">
        <f t="shared" si="9"/>
        <v>1</v>
      </c>
      <c r="I82" s="1">
        <f t="shared" si="10"/>
        <v>9.7656250000000218E-14</v>
      </c>
      <c r="J82" s="1">
        <f t="shared" si="11"/>
        <v>9.7656250000000212E-12</v>
      </c>
      <c r="K82" s="1">
        <f t="shared" si="12"/>
        <v>1</v>
      </c>
    </row>
    <row r="83" spans="1:11" x14ac:dyDescent="0.35">
      <c r="B83" s="2"/>
      <c r="C83" s="2"/>
      <c r="D83" s="2"/>
      <c r="E83" s="2"/>
      <c r="F83" s="2"/>
      <c r="G83" s="2"/>
      <c r="H83" s="2"/>
    </row>
    <row r="85" spans="1:11" ht="72.5" x14ac:dyDescent="0.35">
      <c r="F85" s="6" t="s">
        <v>42</v>
      </c>
      <c r="G85" s="19" t="s">
        <v>41</v>
      </c>
      <c r="H85" s="19"/>
    </row>
    <row r="86" spans="1:11" x14ac:dyDescent="0.35">
      <c r="B86" t="s">
        <v>36</v>
      </c>
      <c r="C86" t="s">
        <v>37</v>
      </c>
      <c r="D86">
        <f>1-E73</f>
        <v>0.26390107090000003</v>
      </c>
      <c r="G86">
        <f>C80+F80</f>
        <v>0.28156793804736335</v>
      </c>
    </row>
    <row r="87" spans="1:11" x14ac:dyDescent="0.35">
      <c r="C87" t="s">
        <v>43</v>
      </c>
      <c r="D87" s="11">
        <f>D86*100</f>
        <v>26.390107090000004</v>
      </c>
      <c r="F87" t="s">
        <v>43</v>
      </c>
      <c r="G87" s="15">
        <f>G86*100</f>
        <v>28.156793804736335</v>
      </c>
    </row>
    <row r="89" spans="1:11" x14ac:dyDescent="0.35">
      <c r="G89">
        <f>F80-D80</f>
        <v>0.28153112354736332</v>
      </c>
    </row>
    <row r="92" spans="1:11" ht="39.5" customHeight="1" x14ac:dyDescent="0.35">
      <c r="A92" s="19" t="s">
        <v>45</v>
      </c>
      <c r="B92" s="19"/>
      <c r="C92" s="19"/>
      <c r="D92" s="19"/>
      <c r="E92" s="19"/>
      <c r="F92" s="19"/>
      <c r="G92" s="19"/>
    </row>
    <row r="94" spans="1:11" x14ac:dyDescent="0.35">
      <c r="B94" t="s">
        <v>46</v>
      </c>
      <c r="C94" t="s">
        <v>47</v>
      </c>
    </row>
    <row r="95" spans="1:11" x14ac:dyDescent="0.35">
      <c r="A95" t="s">
        <v>28</v>
      </c>
      <c r="B95">
        <v>40</v>
      </c>
      <c r="C95">
        <v>45</v>
      </c>
    </row>
    <row r="96" spans="1:11" x14ac:dyDescent="0.35">
      <c r="A96" t="s">
        <v>48</v>
      </c>
      <c r="B96">
        <v>15</v>
      </c>
      <c r="C96">
        <v>10</v>
      </c>
    </row>
    <row r="98" spans="1:7" x14ac:dyDescent="0.35">
      <c r="A98" t="s">
        <v>49</v>
      </c>
      <c r="B98">
        <f>B96/B95</f>
        <v>0.375</v>
      </c>
      <c r="C98">
        <f>C96/C95</f>
        <v>0.22222222222222221</v>
      </c>
    </row>
    <row r="100" spans="1:7" ht="29" x14ac:dyDescent="0.35">
      <c r="A100" s="6"/>
      <c r="B100" s="6" t="s">
        <v>50</v>
      </c>
      <c r="C100" s="6" t="s">
        <v>51</v>
      </c>
    </row>
    <row r="101" spans="1:7" ht="116" x14ac:dyDescent="0.35">
      <c r="B101" s="6" t="s">
        <v>52</v>
      </c>
      <c r="C101" s="6" t="s">
        <v>53</v>
      </c>
    </row>
    <row r="104" spans="1:7" ht="34.5" customHeight="1" x14ac:dyDescent="0.35">
      <c r="A104" s="19" t="s">
        <v>54</v>
      </c>
      <c r="B104" s="19"/>
      <c r="C104" s="19"/>
      <c r="D104" s="19"/>
      <c r="E104" s="19"/>
      <c r="F104" s="19"/>
      <c r="G104" s="19"/>
    </row>
    <row r="106" spans="1:7" x14ac:dyDescent="0.35">
      <c r="A106" t="s">
        <v>28</v>
      </c>
      <c r="B106">
        <v>5000</v>
      </c>
    </row>
    <row r="107" spans="1:7" x14ac:dyDescent="0.35">
      <c r="A107" t="s">
        <v>48</v>
      </c>
      <c r="B107">
        <v>500</v>
      </c>
    </row>
    <row r="109" spans="1:7" x14ac:dyDescent="0.35">
      <c r="A109" t="s">
        <v>55</v>
      </c>
      <c r="B109">
        <v>30</v>
      </c>
    </row>
    <row r="111" spans="1:7" x14ac:dyDescent="0.35">
      <c r="A111" t="s">
        <v>56</v>
      </c>
    </row>
    <row r="113" spans="1:7" x14ac:dyDescent="0.35">
      <c r="A113" t="s">
        <v>59</v>
      </c>
      <c r="B113" t="s">
        <v>57</v>
      </c>
    </row>
    <row r="115" spans="1:7" ht="29" x14ac:dyDescent="0.35">
      <c r="A115" s="6" t="s">
        <v>60</v>
      </c>
      <c r="B115">
        <f>_xlfn.NORM.DIST(5250,5000,500,TRUE)</f>
        <v>0.69146246127401312</v>
      </c>
    </row>
    <row r="117" spans="1:7" x14ac:dyDescent="0.35">
      <c r="A117" t="s">
        <v>68</v>
      </c>
      <c r="B117">
        <f>1-B115</f>
        <v>0.30853753872598688</v>
      </c>
    </row>
    <row r="119" spans="1:7" ht="32.5" customHeight="1" x14ac:dyDescent="0.35">
      <c r="A119" s="19" t="s">
        <v>58</v>
      </c>
      <c r="B119" s="19"/>
      <c r="C119" s="19"/>
      <c r="D119" s="19"/>
      <c r="E119" s="19"/>
      <c r="F119" s="19"/>
      <c r="G119" s="19"/>
    </row>
    <row r="121" spans="1:7" x14ac:dyDescent="0.35">
      <c r="A121" s="16" t="s">
        <v>77</v>
      </c>
      <c r="B121">
        <f>500/SQRT(25)</f>
        <v>100</v>
      </c>
    </row>
    <row r="122" spans="1:7" ht="43.5" x14ac:dyDescent="0.35">
      <c r="A122" s="6" t="s">
        <v>61</v>
      </c>
      <c r="B122">
        <f>_xlfn.NORM.DIST(5250,5000,100,TRUE)</f>
        <v>0.99379033467422384</v>
      </c>
    </row>
    <row r="123" spans="1:7" x14ac:dyDescent="0.35">
      <c r="B123">
        <f>1-B122</f>
        <v>6.2096653257761592E-3</v>
      </c>
    </row>
    <row r="124" spans="1:7" x14ac:dyDescent="0.35">
      <c r="A124" s="6" t="s">
        <v>62</v>
      </c>
      <c r="B124">
        <f>B123*100</f>
        <v>0.62096653257761592</v>
      </c>
    </row>
    <row r="126" spans="1:7" x14ac:dyDescent="0.35">
      <c r="A126" s="19" t="s">
        <v>63</v>
      </c>
      <c r="B126" s="19"/>
      <c r="C126" s="19"/>
      <c r="D126" s="19"/>
      <c r="E126" s="19"/>
      <c r="F126" s="19"/>
      <c r="G126" s="20"/>
    </row>
    <row r="129" spans="1:7" ht="69" customHeight="1" x14ac:dyDescent="0.35">
      <c r="A129" s="19" t="s">
        <v>64</v>
      </c>
      <c r="B129" s="19"/>
      <c r="C129" s="19"/>
      <c r="D129" s="19"/>
      <c r="E129" s="19"/>
      <c r="F129" s="19"/>
      <c r="G129" s="19"/>
    </row>
    <row r="133" spans="1:7" x14ac:dyDescent="0.35">
      <c r="B133" s="8" t="s">
        <v>65</v>
      </c>
      <c r="C133" s="8" t="s">
        <v>66</v>
      </c>
    </row>
    <row r="134" spans="1:7" x14ac:dyDescent="0.35">
      <c r="A134" t="s">
        <v>67</v>
      </c>
      <c r="B134" s="17">
        <v>168000</v>
      </c>
      <c r="C134" s="17">
        <v>117000</v>
      </c>
    </row>
    <row r="135" spans="1:7" x14ac:dyDescent="0.35">
      <c r="A135" t="s">
        <v>69</v>
      </c>
      <c r="B135" s="17">
        <v>40000</v>
      </c>
      <c r="C135" s="17">
        <v>25000</v>
      </c>
    </row>
    <row r="136" spans="1:7" x14ac:dyDescent="0.35">
      <c r="A136" t="s">
        <v>70</v>
      </c>
      <c r="B136">
        <f>B135/SQRT(40)</f>
        <v>6324.5553203367581</v>
      </c>
      <c r="C136">
        <f>C135/SQRT(40)</f>
        <v>3952.847075210474</v>
      </c>
    </row>
    <row r="138" spans="1:7" x14ac:dyDescent="0.35">
      <c r="A138" t="s">
        <v>71</v>
      </c>
      <c r="B138">
        <f>_xlfn.NORM.DIST(178000,B134,B136,1)</f>
        <v>0.94307685099667093</v>
      </c>
      <c r="C138">
        <f>_xlfn.NORM.DIST(127000,C134,C136,1)</f>
        <v>0.99429398180699913</v>
      </c>
    </row>
    <row r="139" spans="1:7" x14ac:dyDescent="0.35">
      <c r="A139" t="s">
        <v>72</v>
      </c>
      <c r="B139">
        <f>B138*100</f>
        <v>94.307685099667097</v>
      </c>
      <c r="C139">
        <f>C138*100</f>
        <v>99.429398180699906</v>
      </c>
    </row>
    <row r="141" spans="1:7" x14ac:dyDescent="0.35">
      <c r="A141" t="s">
        <v>73</v>
      </c>
      <c r="B141">
        <f>_xlfn.NORM.DIST(158000,B134,B136,1)</f>
        <v>5.692314900332901E-2</v>
      </c>
      <c r="C141">
        <f>_xlfn.NORM.DIST(107000,C134,C136,1)</f>
        <v>5.7060181930008239E-3</v>
      </c>
    </row>
    <row r="142" spans="1:7" x14ac:dyDescent="0.35">
      <c r="A142" t="s">
        <v>74</v>
      </c>
      <c r="B142">
        <f>B141*100</f>
        <v>5.6923149003329012</v>
      </c>
      <c r="C142">
        <f>C141*100</f>
        <v>0.57060181930008236</v>
      </c>
    </row>
    <row r="144" spans="1:7" x14ac:dyDescent="0.35">
      <c r="A144" t="s">
        <v>75</v>
      </c>
      <c r="B144">
        <f>B139-B142</f>
        <v>88.615370199334194</v>
      </c>
      <c r="C144">
        <f>C139-C142</f>
        <v>98.858796361399826</v>
      </c>
    </row>
    <row r="146" spans="1:7" x14ac:dyDescent="0.35">
      <c r="A146" t="s">
        <v>76</v>
      </c>
      <c r="B146">
        <f>B136/B134</f>
        <v>3.764616262105213E-2</v>
      </c>
      <c r="C146">
        <f>C136/C134</f>
        <v>3.3785017736841658E-2</v>
      </c>
    </row>
    <row r="149" spans="1:7" ht="51" customHeight="1" x14ac:dyDescent="0.35">
      <c r="A149" s="19" t="s">
        <v>78</v>
      </c>
      <c r="B149" s="19"/>
      <c r="C149" s="19"/>
      <c r="D149" s="19"/>
      <c r="E149" s="19"/>
      <c r="F149" s="19"/>
      <c r="G149" s="19"/>
    </row>
    <row r="151" spans="1:7" ht="68.5" customHeight="1" x14ac:dyDescent="0.35">
      <c r="A151" s="19" t="s">
        <v>88</v>
      </c>
      <c r="B151" s="19"/>
      <c r="C151" s="19"/>
      <c r="D151" s="19"/>
      <c r="E151" s="19"/>
      <c r="F151" s="19"/>
      <c r="G151" s="19"/>
    </row>
    <row r="153" spans="1:7" x14ac:dyDescent="0.35">
      <c r="A153" s="18" t="s">
        <v>55</v>
      </c>
      <c r="B153">
        <v>10</v>
      </c>
    </row>
    <row r="154" spans="1:7" x14ac:dyDescent="0.35">
      <c r="A154" s="18" t="s">
        <v>28</v>
      </c>
      <c r="B154">
        <v>0.22</v>
      </c>
    </row>
    <row r="156" spans="1:7" ht="29" x14ac:dyDescent="0.35">
      <c r="A156" s="5" t="s">
        <v>0</v>
      </c>
      <c r="B156" s="12" t="s">
        <v>1</v>
      </c>
      <c r="C156" s="12" t="s">
        <v>39</v>
      </c>
    </row>
    <row r="157" spans="1:7" x14ac:dyDescent="0.35">
      <c r="A157" s="1">
        <v>0</v>
      </c>
      <c r="B157" s="1">
        <f>_xlfn.BINOM.DIST(A157,$B$153,$B$154,0)</f>
        <v>8.3357758312362001E-2</v>
      </c>
      <c r="C157" s="1">
        <f>_xlfn.BINOM.DIST(A157,$B$153,$B$154,1)</f>
        <v>8.3357758312362001E-2</v>
      </c>
    </row>
    <row r="158" spans="1:7" x14ac:dyDescent="0.35">
      <c r="A158" s="1">
        <v>1</v>
      </c>
      <c r="B158" s="1">
        <f t="shared" ref="B158:B167" si="13">_xlfn.BINOM.DIST(A158,$B$153,$B$154,0)</f>
        <v>0.23511162600922611</v>
      </c>
      <c r="C158" s="1">
        <f t="shared" ref="C158:C167" si="14">_xlfn.BINOM.DIST(A158,$B$153,$B$154,1)</f>
        <v>0.31846938432158822</v>
      </c>
    </row>
    <row r="159" spans="1:7" x14ac:dyDescent="0.35">
      <c r="A159" s="1">
        <v>2</v>
      </c>
      <c r="B159" s="1">
        <f t="shared" si="13"/>
        <v>0.29841090993478708</v>
      </c>
      <c r="C159" s="1">
        <f t="shared" si="14"/>
        <v>0.61688029425637514</v>
      </c>
      <c r="D159">
        <f>1-C159</f>
        <v>0.38311970574362486</v>
      </c>
    </row>
    <row r="160" spans="1:7" x14ac:dyDescent="0.35">
      <c r="A160" s="1">
        <v>3</v>
      </c>
      <c r="B160" s="1">
        <f t="shared" si="13"/>
        <v>0.22444581260052357</v>
      </c>
      <c r="C160" s="1">
        <f t="shared" si="14"/>
        <v>0.84132610685689879</v>
      </c>
    </row>
    <row r="161" spans="1:3" x14ac:dyDescent="0.35">
      <c r="A161" s="1">
        <v>4</v>
      </c>
      <c r="B161" s="1">
        <f t="shared" si="13"/>
        <v>0.11078415109128407</v>
      </c>
      <c r="C161" s="1">
        <f t="shared" si="14"/>
        <v>0.95211025794818283</v>
      </c>
    </row>
    <row r="162" spans="1:3" x14ac:dyDescent="0.35">
      <c r="A162" s="1">
        <v>5</v>
      </c>
      <c r="B162" s="1">
        <f t="shared" si="13"/>
        <v>3.7496174215511546E-2</v>
      </c>
      <c r="C162" s="1">
        <f t="shared" si="14"/>
        <v>0.98960643216369437</v>
      </c>
    </row>
    <row r="163" spans="1:3" x14ac:dyDescent="0.35">
      <c r="A163" s="1">
        <v>6</v>
      </c>
      <c r="B163" s="1">
        <f t="shared" si="13"/>
        <v>8.8132033412527139E-3</v>
      </c>
      <c r="C163" s="1">
        <f t="shared" si="14"/>
        <v>0.99841963550494706</v>
      </c>
    </row>
    <row r="164" spans="1:3" x14ac:dyDescent="0.35">
      <c r="A164" s="1">
        <v>7</v>
      </c>
      <c r="B164" s="1">
        <f t="shared" si="13"/>
        <v>1.4204430293594101E-3</v>
      </c>
      <c r="C164" s="1">
        <f t="shared" si="14"/>
        <v>0.99984007853430645</v>
      </c>
    </row>
    <row r="165" spans="1:3" x14ac:dyDescent="0.35">
      <c r="A165" s="1">
        <v>8</v>
      </c>
      <c r="B165" s="1">
        <f t="shared" si="13"/>
        <v>1.5023916656686079E-4</v>
      </c>
      <c r="C165" s="1">
        <f t="shared" si="14"/>
        <v>0.99999031770087332</v>
      </c>
    </row>
    <row r="166" spans="1:3" x14ac:dyDescent="0.35">
      <c r="A166" s="1">
        <v>9</v>
      </c>
      <c r="B166" s="1">
        <f t="shared" si="13"/>
        <v>9.4166998987775968E-6</v>
      </c>
      <c r="C166" s="1">
        <f t="shared" si="14"/>
        <v>0.99999973440077206</v>
      </c>
    </row>
    <row r="167" spans="1:3" x14ac:dyDescent="0.35">
      <c r="A167" s="1">
        <v>10</v>
      </c>
      <c r="B167" s="1">
        <f t="shared" si="13"/>
        <v>2.6559922791423987E-7</v>
      </c>
      <c r="C167" s="1">
        <f t="shared" si="14"/>
        <v>1</v>
      </c>
    </row>
  </sheetData>
  <mergeCells count="12">
    <mergeCell ref="A92:G92"/>
    <mergeCell ref="B1:E1"/>
    <mergeCell ref="B37:E39"/>
    <mergeCell ref="A45:F45"/>
    <mergeCell ref="A68:F68"/>
    <mergeCell ref="G85:H85"/>
    <mergeCell ref="A151:G151"/>
    <mergeCell ref="A104:G104"/>
    <mergeCell ref="A119:G119"/>
    <mergeCell ref="A126:G126"/>
    <mergeCell ref="A129:G129"/>
    <mergeCell ref="A149:G149"/>
  </mergeCells>
  <pageMargins left="0.7" right="0.7" top="0.75" bottom="0.75" header="0.3" footer="0.3"/>
  <pageSetup paperSize="9" orientation="portrait" r:id="rId1"/>
  <ignoredErrors>
    <ignoredError sqref="D72" 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8176-6D94-4C5C-BD23-72B23918D55C}">
  <dimension ref="A4:K70"/>
  <sheetViews>
    <sheetView tabSelected="1" topLeftCell="A37" workbookViewId="0">
      <selection activeCell="B41" sqref="B41"/>
    </sheetView>
  </sheetViews>
  <sheetFormatPr defaultRowHeight="14.5" x14ac:dyDescent="0.35"/>
  <cols>
    <col min="1" max="2" width="18.81640625" customWidth="1"/>
    <col min="3" max="7" width="20.7265625" customWidth="1"/>
  </cols>
  <sheetData>
    <row r="4" spans="2:6" x14ac:dyDescent="0.35">
      <c r="B4" s="5" t="s">
        <v>0</v>
      </c>
      <c r="C4" s="4" t="s">
        <v>1</v>
      </c>
      <c r="D4" s="4" t="s">
        <v>7</v>
      </c>
    </row>
    <row r="5" spans="2:6" x14ac:dyDescent="0.35">
      <c r="B5" s="1">
        <v>0</v>
      </c>
      <c r="C5" s="1">
        <f>_xlfn.POISSON.DIST(B5,3,FALSE)</f>
        <v>4.9787068367863944E-2</v>
      </c>
      <c r="D5" s="1">
        <f>_xlfn.POISSON.DIST(B5,3,TRUE)</f>
        <v>4.9787068367863944E-2</v>
      </c>
    </row>
    <row r="6" spans="2:6" x14ac:dyDescent="0.35">
      <c r="B6" s="1">
        <v>1</v>
      </c>
      <c r="C6" s="1">
        <f t="shared" ref="C6:C15" si="0">_xlfn.POISSON.DIST(B6,3,FALSE)</f>
        <v>0.14936120510359185</v>
      </c>
      <c r="D6" s="1">
        <f t="shared" ref="D6:D15" si="1">_xlfn.POISSON.DIST(B6,3,TRUE)</f>
        <v>0.19914827347145578</v>
      </c>
    </row>
    <row r="7" spans="2:6" x14ac:dyDescent="0.35">
      <c r="B7" s="1">
        <v>2</v>
      </c>
      <c r="C7" s="1">
        <f t="shared" si="0"/>
        <v>0.22404180765538775</v>
      </c>
      <c r="D7" s="1">
        <f t="shared" si="1"/>
        <v>0.42319008112684342</v>
      </c>
    </row>
    <row r="8" spans="2:6" ht="72.5" x14ac:dyDescent="0.35">
      <c r="B8" s="1">
        <v>3</v>
      </c>
      <c r="C8" s="1">
        <f t="shared" si="0"/>
        <v>0.22404180765538778</v>
      </c>
      <c r="D8" s="1">
        <f t="shared" si="1"/>
        <v>0.64723188878223126</v>
      </c>
      <c r="E8">
        <f>1-D8</f>
        <v>0.35276811121776874</v>
      </c>
      <c r="F8" s="6" t="s">
        <v>8</v>
      </c>
    </row>
    <row r="9" spans="2:6" x14ac:dyDescent="0.35">
      <c r="B9" s="1">
        <v>4</v>
      </c>
      <c r="C9" s="1">
        <f t="shared" si="0"/>
        <v>0.16803135574154085</v>
      </c>
      <c r="D9" s="1">
        <f t="shared" si="1"/>
        <v>0.81526324452377208</v>
      </c>
    </row>
    <row r="10" spans="2:6" x14ac:dyDescent="0.35">
      <c r="B10" s="1">
        <v>5</v>
      </c>
      <c r="C10" s="1">
        <f t="shared" si="0"/>
        <v>0.10081881344492449</v>
      </c>
      <c r="D10" s="1">
        <f t="shared" si="1"/>
        <v>0.91608205796869657</v>
      </c>
    </row>
    <row r="11" spans="2:6" x14ac:dyDescent="0.35">
      <c r="B11" s="1">
        <v>6</v>
      </c>
      <c r="C11" s="1">
        <f t="shared" si="0"/>
        <v>5.0409406722462261E-2</v>
      </c>
      <c r="D11" s="1">
        <f t="shared" si="1"/>
        <v>0.96649146469115887</v>
      </c>
    </row>
    <row r="12" spans="2:6" x14ac:dyDescent="0.35">
      <c r="B12" s="1">
        <v>7</v>
      </c>
      <c r="C12" s="1">
        <f t="shared" si="0"/>
        <v>2.1604031452483807E-2</v>
      </c>
      <c r="D12" s="1">
        <f t="shared" si="1"/>
        <v>0.98809549614364256</v>
      </c>
    </row>
    <row r="13" spans="2:6" x14ac:dyDescent="0.35">
      <c r="B13" s="1">
        <v>8</v>
      </c>
      <c r="C13" s="1">
        <f t="shared" si="0"/>
        <v>8.1015117946814375E-3</v>
      </c>
      <c r="D13" s="1">
        <f t="shared" si="1"/>
        <v>0.996197007938324</v>
      </c>
    </row>
    <row r="14" spans="2:6" x14ac:dyDescent="0.35">
      <c r="B14" s="1">
        <v>9</v>
      </c>
      <c r="C14" s="1">
        <f t="shared" si="0"/>
        <v>2.7005039315604771E-3</v>
      </c>
      <c r="D14" s="1">
        <f t="shared" si="1"/>
        <v>0.99889751186988451</v>
      </c>
    </row>
    <row r="15" spans="2:6" x14ac:dyDescent="0.35">
      <c r="B15" s="1">
        <v>10</v>
      </c>
      <c r="C15" s="1">
        <f t="shared" si="0"/>
        <v>8.1015117946814244E-4</v>
      </c>
      <c r="D15" s="1">
        <f t="shared" si="1"/>
        <v>0.99970766304935266</v>
      </c>
    </row>
    <row r="21" spans="1:11" ht="38" customHeight="1" x14ac:dyDescent="0.35">
      <c r="A21" s="19" t="s">
        <v>79</v>
      </c>
      <c r="B21" s="19"/>
      <c r="C21" s="19"/>
      <c r="D21" s="19"/>
      <c r="E21" s="19"/>
      <c r="F21" s="19"/>
      <c r="G21" s="19"/>
      <c r="H21" s="19"/>
      <c r="I21" s="19"/>
      <c r="J21" s="19"/>
      <c r="K21" s="19"/>
    </row>
    <row r="24" spans="1:11" x14ac:dyDescent="0.35">
      <c r="A24" s="19" t="s">
        <v>80</v>
      </c>
      <c r="B24" s="19"/>
      <c r="C24" s="19"/>
      <c r="D24" s="19"/>
      <c r="E24" s="19"/>
      <c r="F24" s="19"/>
      <c r="G24" s="19"/>
      <c r="H24" s="19"/>
      <c r="I24" s="19"/>
      <c r="J24" s="19"/>
      <c r="K24" s="19"/>
    </row>
    <row r="26" spans="1:11" x14ac:dyDescent="0.35">
      <c r="A26" s="5" t="s">
        <v>0</v>
      </c>
      <c r="B26" s="4" t="s">
        <v>1</v>
      </c>
      <c r="C26" s="4" t="s">
        <v>7</v>
      </c>
    </row>
    <row r="27" spans="1:11" x14ac:dyDescent="0.35">
      <c r="A27" s="1">
        <v>0</v>
      </c>
      <c r="B27" s="1">
        <f>_xlfn.POISSON.DIST(A27,2.4,FALSE)</f>
        <v>9.0717953289412512E-2</v>
      </c>
      <c r="C27" s="1">
        <f>_xlfn.POISSON.DIST(A27,2.4,TRUE)</f>
        <v>9.0717953289412512E-2</v>
      </c>
    </row>
    <row r="28" spans="1:11" x14ac:dyDescent="0.35">
      <c r="A28" s="1">
        <v>1</v>
      </c>
      <c r="B28" s="1">
        <f t="shared" ref="B28:B34" si="2">_xlfn.POISSON.DIST(A28,2.4,FALSE)</f>
        <v>0.21772308789459002</v>
      </c>
      <c r="C28" s="1">
        <f t="shared" ref="C28:C34" si="3">_xlfn.POISSON.DIST(A28,2.4,TRUE)</f>
        <v>0.30844104118400251</v>
      </c>
    </row>
    <row r="29" spans="1:11" x14ac:dyDescent="0.35">
      <c r="A29" s="1">
        <v>2</v>
      </c>
      <c r="B29" s="1">
        <f t="shared" si="2"/>
        <v>0.26126770547350808</v>
      </c>
      <c r="C29" s="1">
        <f t="shared" si="3"/>
        <v>0.56970874665751048</v>
      </c>
    </row>
    <row r="30" spans="1:11" x14ac:dyDescent="0.35">
      <c r="A30" s="1">
        <v>3</v>
      </c>
      <c r="B30" s="1">
        <f t="shared" si="2"/>
        <v>0.20901416437880643</v>
      </c>
      <c r="C30" s="1">
        <f t="shared" si="3"/>
        <v>0.77872291103631697</v>
      </c>
    </row>
    <row r="31" spans="1:11" x14ac:dyDescent="0.35">
      <c r="A31" s="1">
        <v>4</v>
      </c>
      <c r="B31" s="1">
        <f t="shared" si="2"/>
        <v>0.12540849862728387</v>
      </c>
      <c r="C31" s="1">
        <f t="shared" si="3"/>
        <v>0.90413140966360084</v>
      </c>
    </row>
    <row r="32" spans="1:11" x14ac:dyDescent="0.35">
      <c r="A32" s="1">
        <v>5</v>
      </c>
      <c r="B32" s="1">
        <f t="shared" si="2"/>
        <v>6.019607934109622E-2</v>
      </c>
      <c r="C32" s="1">
        <f t="shared" si="3"/>
        <v>0.964327489004697</v>
      </c>
    </row>
    <row r="33" spans="1:11" x14ac:dyDescent="0.35">
      <c r="A33" s="1">
        <v>6</v>
      </c>
      <c r="B33" s="1">
        <f t="shared" si="2"/>
        <v>2.4078431736438494E-2</v>
      </c>
      <c r="C33" s="1">
        <f t="shared" si="3"/>
        <v>0.98840592074113554</v>
      </c>
    </row>
    <row r="34" spans="1:11" x14ac:dyDescent="0.35">
      <c r="A34" s="1">
        <v>7</v>
      </c>
      <c r="B34" s="1">
        <f t="shared" si="2"/>
        <v>8.2554623096360528E-3</v>
      </c>
      <c r="C34" s="1">
        <f t="shared" si="3"/>
        <v>0.99666138305077157</v>
      </c>
    </row>
    <row r="37" spans="1:11" ht="67" customHeight="1" x14ac:dyDescent="0.35">
      <c r="A37" s="19" t="s">
        <v>81</v>
      </c>
      <c r="B37" s="19"/>
      <c r="C37" s="19"/>
      <c r="D37" s="19"/>
      <c r="E37" s="19"/>
      <c r="F37" s="19"/>
      <c r="G37" s="19"/>
      <c r="H37" s="19"/>
      <c r="I37" s="19"/>
      <c r="J37" s="19"/>
      <c r="K37" s="19"/>
    </row>
    <row r="40" spans="1:11" x14ac:dyDescent="0.35">
      <c r="A40" s="5" t="s">
        <v>0</v>
      </c>
      <c r="B40" s="4" t="s">
        <v>1</v>
      </c>
      <c r="C40" s="4" t="s">
        <v>7</v>
      </c>
    </row>
    <row r="41" spans="1:11" x14ac:dyDescent="0.35">
      <c r="A41" s="1">
        <v>0</v>
      </c>
      <c r="B41" s="1">
        <f>_xlfn.POISSON.DIST(A41,6,FALSE)</f>
        <v>2.4787521766663585E-3</v>
      </c>
      <c r="C41" s="1">
        <f>_xlfn.POISSON.DIST(A41,6,TRUE)</f>
        <v>2.4787521766663585E-3</v>
      </c>
    </row>
    <row r="42" spans="1:11" x14ac:dyDescent="0.35">
      <c r="A42" s="1">
        <v>1</v>
      </c>
      <c r="B42" s="1">
        <f t="shared" ref="B42:B51" si="4">_xlfn.POISSON.DIST(A42,6,FALSE)</f>
        <v>1.4872513059998151E-2</v>
      </c>
      <c r="C42" s="1">
        <f t="shared" ref="C42:C51" si="5">_xlfn.POISSON.DIST(A42,6,TRUE)</f>
        <v>1.7351265236664509E-2</v>
      </c>
    </row>
    <row r="43" spans="1:11" x14ac:dyDescent="0.35">
      <c r="A43" s="1">
        <v>2</v>
      </c>
      <c r="B43" s="1">
        <f t="shared" si="4"/>
        <v>4.4617539179994462E-2</v>
      </c>
      <c r="C43" s="1">
        <f t="shared" si="5"/>
        <v>6.196880441665896E-2</v>
      </c>
    </row>
    <row r="44" spans="1:11" x14ac:dyDescent="0.35">
      <c r="A44" s="1">
        <v>3</v>
      </c>
      <c r="B44" s="1">
        <f t="shared" si="4"/>
        <v>8.9235078359988909E-2</v>
      </c>
      <c r="C44" s="1">
        <f t="shared" si="5"/>
        <v>0.15120388277664787</v>
      </c>
    </row>
    <row r="45" spans="1:11" x14ac:dyDescent="0.35">
      <c r="A45" s="1">
        <v>4</v>
      </c>
      <c r="B45" s="1">
        <f t="shared" si="4"/>
        <v>0.13385261753998337</v>
      </c>
      <c r="C45" s="1">
        <f t="shared" si="5"/>
        <v>0.28505650031663121</v>
      </c>
    </row>
    <row r="46" spans="1:11" x14ac:dyDescent="0.35">
      <c r="A46" s="1">
        <v>5</v>
      </c>
      <c r="B46" s="1">
        <f t="shared" si="4"/>
        <v>0.16062314104798003</v>
      </c>
      <c r="C46" s="1">
        <f t="shared" si="5"/>
        <v>0.44567964136461113</v>
      </c>
    </row>
    <row r="47" spans="1:11" x14ac:dyDescent="0.35">
      <c r="A47" s="1">
        <v>6</v>
      </c>
      <c r="B47" s="1">
        <f t="shared" si="4"/>
        <v>0.16062314104798003</v>
      </c>
      <c r="C47" s="1">
        <f t="shared" si="5"/>
        <v>0.60630278241259128</v>
      </c>
    </row>
    <row r="48" spans="1:11" x14ac:dyDescent="0.35">
      <c r="A48" s="1">
        <v>7</v>
      </c>
      <c r="B48" s="1">
        <f t="shared" si="4"/>
        <v>0.13767697804112577</v>
      </c>
      <c r="C48" s="1">
        <f t="shared" si="5"/>
        <v>0.74397976045371694</v>
      </c>
    </row>
    <row r="49" spans="1:7" x14ac:dyDescent="0.35">
      <c r="A49" s="1">
        <v>8</v>
      </c>
      <c r="B49" s="1">
        <f t="shared" si="4"/>
        <v>0.10325773353084432</v>
      </c>
      <c r="C49" s="1">
        <f t="shared" si="5"/>
        <v>0.84723749398456127</v>
      </c>
    </row>
    <row r="50" spans="1:7" x14ac:dyDescent="0.35">
      <c r="A50" s="1">
        <v>9</v>
      </c>
      <c r="B50" s="1">
        <f t="shared" si="4"/>
        <v>6.883848902056286E-2</v>
      </c>
      <c r="C50" s="1">
        <f t="shared" si="5"/>
        <v>0.91607598300512416</v>
      </c>
    </row>
    <row r="51" spans="1:7" x14ac:dyDescent="0.35">
      <c r="A51" s="1">
        <v>10</v>
      </c>
      <c r="B51" s="1">
        <f t="shared" si="4"/>
        <v>4.1303093412337732E-2</v>
      </c>
      <c r="C51" s="1">
        <f t="shared" si="5"/>
        <v>0.95737907641746189</v>
      </c>
    </row>
    <row r="55" spans="1:7" ht="66" customHeight="1" x14ac:dyDescent="0.35">
      <c r="A55" s="19" t="s">
        <v>78</v>
      </c>
      <c r="B55" s="19"/>
      <c r="C55" s="19"/>
      <c r="D55" s="19"/>
      <c r="E55" s="19"/>
      <c r="F55" s="19"/>
      <c r="G55" s="19"/>
    </row>
    <row r="57" spans="1:7" ht="69.5" customHeight="1" x14ac:dyDescent="0.35">
      <c r="A57" s="19" t="s">
        <v>87</v>
      </c>
      <c r="B57" s="19"/>
      <c r="C57" s="19"/>
      <c r="D57" s="19"/>
      <c r="E57" s="19"/>
      <c r="F57" s="19"/>
      <c r="G57" s="19"/>
    </row>
    <row r="59" spans="1:7" x14ac:dyDescent="0.35">
      <c r="A59" t="s">
        <v>28</v>
      </c>
      <c r="B59">
        <f>22/10</f>
        <v>2.2000000000000002</v>
      </c>
    </row>
    <row r="61" spans="1:7" x14ac:dyDescent="0.35">
      <c r="A61" s="5" t="s">
        <v>0</v>
      </c>
      <c r="B61" s="4" t="s">
        <v>1</v>
      </c>
      <c r="C61" s="4" t="s">
        <v>7</v>
      </c>
    </row>
    <row r="62" spans="1:7" x14ac:dyDescent="0.35">
      <c r="A62" s="1">
        <v>0</v>
      </c>
      <c r="B62" s="1">
        <f>_xlfn.POISSON.DIST(A62,$B$59,FALSE)</f>
        <v>0.11080315836233387</v>
      </c>
      <c r="C62" s="1">
        <f>_xlfn.POISSON.DIST(A62,$B$59,TRUE)</f>
        <v>0.11080315836233387</v>
      </c>
    </row>
    <row r="63" spans="1:7" x14ac:dyDescent="0.35">
      <c r="A63" s="1">
        <v>1</v>
      </c>
      <c r="B63" s="1">
        <f t="shared" ref="B63:B70" si="6">_xlfn.POISSON.DIST(A63,$B$59,FALSE)</f>
        <v>0.2437669483971345</v>
      </c>
      <c r="C63" s="1">
        <f t="shared" ref="C63:C70" si="7">_xlfn.POISSON.DIST(A63,$B$59,TRUE)</f>
        <v>0.35457010675946843</v>
      </c>
    </row>
    <row r="64" spans="1:7" x14ac:dyDescent="0.35">
      <c r="A64" s="1">
        <v>2</v>
      </c>
      <c r="B64" s="1">
        <f t="shared" si="6"/>
        <v>0.26814364323684803</v>
      </c>
      <c r="C64" s="1">
        <f t="shared" si="7"/>
        <v>0.62271374999631646</v>
      </c>
      <c r="D64">
        <f>1-C64</f>
        <v>0.37728625000368354</v>
      </c>
    </row>
    <row r="65" spans="1:3" x14ac:dyDescent="0.35">
      <c r="A65" s="1">
        <v>3</v>
      </c>
      <c r="B65" s="1">
        <f t="shared" si="6"/>
        <v>0.19663867170702187</v>
      </c>
      <c r="C65" s="1">
        <f t="shared" si="7"/>
        <v>0.81935242170333822</v>
      </c>
    </row>
    <row r="66" spans="1:3" x14ac:dyDescent="0.35">
      <c r="A66" s="1">
        <v>4</v>
      </c>
      <c r="B66" s="1">
        <f t="shared" si="6"/>
        <v>0.10815126943886204</v>
      </c>
      <c r="C66" s="1">
        <f t="shared" si="7"/>
        <v>0.92750369114220033</v>
      </c>
    </row>
    <row r="67" spans="1:3" x14ac:dyDescent="0.35">
      <c r="A67" s="1">
        <v>5</v>
      </c>
      <c r="B67" s="1">
        <f t="shared" si="6"/>
        <v>4.7586558553099297E-2</v>
      </c>
      <c r="C67" s="1">
        <f t="shared" si="7"/>
        <v>0.97509024969529956</v>
      </c>
    </row>
    <row r="68" spans="1:3" x14ac:dyDescent="0.35">
      <c r="A68" s="1">
        <v>6</v>
      </c>
      <c r="B68" s="1">
        <f t="shared" si="6"/>
        <v>1.7448404802803078E-2</v>
      </c>
      <c r="C68" s="1">
        <f t="shared" si="7"/>
        <v>0.99253865449810275</v>
      </c>
    </row>
    <row r="69" spans="1:3" x14ac:dyDescent="0.35">
      <c r="A69" s="1">
        <v>7</v>
      </c>
      <c r="B69" s="1">
        <f t="shared" si="6"/>
        <v>5.4837843665952509E-3</v>
      </c>
      <c r="C69" s="1">
        <f t="shared" si="7"/>
        <v>0.99802243886469788</v>
      </c>
    </row>
    <row r="70" spans="1:3" x14ac:dyDescent="0.35">
      <c r="A70" s="1">
        <v>8</v>
      </c>
      <c r="B70" s="1">
        <f t="shared" si="6"/>
        <v>1.508040700813694E-3</v>
      </c>
      <c r="C70" s="1">
        <f t="shared" si="7"/>
        <v>0.99953047956551155</v>
      </c>
    </row>
  </sheetData>
  <mergeCells count="5">
    <mergeCell ref="A55:G55"/>
    <mergeCell ref="A57:G57"/>
    <mergeCell ref="A21:K21"/>
    <mergeCell ref="A24:K24"/>
    <mergeCell ref="A37:K3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B7547-75F0-427A-A56F-2620E5C8938E}">
  <dimension ref="A1:O50"/>
  <sheetViews>
    <sheetView topLeftCell="A7" workbookViewId="0">
      <selection activeCell="A27" sqref="A27"/>
    </sheetView>
  </sheetViews>
  <sheetFormatPr defaultRowHeight="14.5" x14ac:dyDescent="0.35"/>
  <sheetData>
    <row r="1" spans="1:6" x14ac:dyDescent="0.35">
      <c r="A1" t="s">
        <v>10</v>
      </c>
      <c r="D1" t="s">
        <v>10</v>
      </c>
      <c r="E1" t="s">
        <v>9</v>
      </c>
      <c r="F1">
        <f>(0.28-0.295)/0.025</f>
        <v>-0.59999999999999831</v>
      </c>
    </row>
    <row r="2" spans="1:6" x14ac:dyDescent="0.35">
      <c r="A2">
        <f>_xlfn.NORM.DIST(0.28,0.295,0.025,1)</f>
        <v>0.2742531177500741</v>
      </c>
    </row>
    <row r="3" spans="1:6" x14ac:dyDescent="0.35">
      <c r="A3">
        <f>_xlfn.NORM.S.DIST(-0.6,1)</f>
        <v>0.27425311775007355</v>
      </c>
    </row>
    <row r="5" spans="1:6" x14ac:dyDescent="0.35">
      <c r="A5" t="s">
        <v>11</v>
      </c>
    </row>
    <row r="6" spans="1:6" x14ac:dyDescent="0.35">
      <c r="A6">
        <f>1-_xlfn.NORM.DIST(0.35,0.295,0.025,1)</f>
        <v>1.390344751349859E-2</v>
      </c>
      <c r="D6" t="s">
        <v>11</v>
      </c>
      <c r="E6" t="s">
        <v>9</v>
      </c>
      <c r="F6">
        <f>(0.35-0.295)/0.025</f>
        <v>2.1999999999999997</v>
      </c>
    </row>
    <row r="7" spans="1:6" x14ac:dyDescent="0.35">
      <c r="A7">
        <f>1-_xlfn.NORM.S.DIST(2.2,1)</f>
        <v>1.390344751349859E-2</v>
      </c>
    </row>
    <row r="10" spans="1:6" x14ac:dyDescent="0.35">
      <c r="A10" t="s">
        <v>12</v>
      </c>
    </row>
    <row r="11" spans="1:6" x14ac:dyDescent="0.35">
      <c r="A11" t="s">
        <v>13</v>
      </c>
    </row>
    <row r="13" spans="1:6" x14ac:dyDescent="0.35">
      <c r="A13">
        <f>_xlfn.NORM.DIST(0.34,0.295,0.025,1)-_xlfn.NORM.DIST(0.26,0.295,0.025,1)</f>
        <v>0.88331302165330317</v>
      </c>
      <c r="D13" t="s">
        <v>12</v>
      </c>
      <c r="E13" t="s">
        <v>9</v>
      </c>
      <c r="F13">
        <f>(0.34-0.295)/0.025</f>
        <v>1.8000000000000016</v>
      </c>
    </row>
    <row r="14" spans="1:6" x14ac:dyDescent="0.35">
      <c r="A14">
        <f>_xlfn.NORM.S.DIST(1.8,1)-_xlfn.NORM.S.DIST(-1.4,1)</f>
        <v>0.88331302165330317</v>
      </c>
      <c r="D14" t="s">
        <v>14</v>
      </c>
      <c r="E14" t="s">
        <v>9</v>
      </c>
      <c r="F14">
        <f>(0.26-0.295)/0.025</f>
        <v>-1.399999999999999</v>
      </c>
    </row>
    <row r="17" spans="1:15" x14ac:dyDescent="0.35">
      <c r="A17">
        <f>_xlfn.NORM.INV(0.1,0.295,0.025)</f>
        <v>0.26296121086138496</v>
      </c>
    </row>
    <row r="18" spans="1:15" x14ac:dyDescent="0.35">
      <c r="A18">
        <f>_xlfn.NORM.S.INV(0.1)</f>
        <v>-1.2815515655446006</v>
      </c>
      <c r="D18" t="s">
        <v>15</v>
      </c>
    </row>
    <row r="19" spans="1:15" x14ac:dyDescent="0.35">
      <c r="D19" t="s">
        <v>16</v>
      </c>
    </row>
    <row r="20" spans="1:15" x14ac:dyDescent="0.35">
      <c r="D20">
        <f>-1.28155*0.025+0.295</f>
        <v>0.26296124999999998</v>
      </c>
    </row>
    <row r="23" spans="1:15" x14ac:dyDescent="0.35">
      <c r="A23">
        <f>POWER(0.1,20)</f>
        <v>1.0000000000000022E-20</v>
      </c>
    </row>
    <row r="28" spans="1:15" ht="54.5" customHeight="1" x14ac:dyDescent="0.35">
      <c r="A28" s="19" t="s">
        <v>82</v>
      </c>
      <c r="B28" s="19"/>
      <c r="C28" s="19"/>
      <c r="D28" s="19"/>
      <c r="E28" s="19"/>
      <c r="F28" s="19"/>
      <c r="G28" s="19"/>
      <c r="H28" s="19"/>
      <c r="I28" s="19"/>
      <c r="J28" s="19"/>
      <c r="K28" s="19"/>
      <c r="L28" s="19"/>
      <c r="M28" s="19"/>
      <c r="N28" s="19"/>
      <c r="O28" s="19"/>
    </row>
    <row r="30" spans="1:15" x14ac:dyDescent="0.35">
      <c r="A30" t="s">
        <v>28</v>
      </c>
      <c r="B30">
        <v>65.16</v>
      </c>
    </row>
    <row r="31" spans="1:15" x14ac:dyDescent="0.35">
      <c r="A31" t="s">
        <v>48</v>
      </c>
      <c r="B31">
        <v>10</v>
      </c>
    </row>
    <row r="35" spans="1:15" x14ac:dyDescent="0.35">
      <c r="A35" s="19" t="s">
        <v>83</v>
      </c>
      <c r="B35" s="19"/>
      <c r="C35" s="19"/>
      <c r="D35" s="19"/>
      <c r="E35" s="19"/>
      <c r="F35" s="19"/>
      <c r="G35" s="19"/>
      <c r="H35" s="19"/>
      <c r="I35" s="19"/>
      <c r="J35" s="19"/>
      <c r="K35" s="19"/>
      <c r="L35" s="19"/>
      <c r="M35" s="19"/>
      <c r="N35" s="19"/>
      <c r="O35" s="19"/>
    </row>
    <row r="37" spans="1:15" x14ac:dyDescent="0.35">
      <c r="A37">
        <f>_xlfn.NORM.DIST(35,65.16,10,1)</f>
        <v>1.2806662997021231E-3</v>
      </c>
    </row>
    <row r="39" spans="1:15" x14ac:dyDescent="0.35">
      <c r="A39" s="19" t="s">
        <v>84</v>
      </c>
      <c r="B39" s="19"/>
      <c r="C39" s="19"/>
      <c r="D39" s="19"/>
      <c r="E39" s="19"/>
      <c r="F39" s="19"/>
      <c r="G39" s="19"/>
      <c r="H39" s="19"/>
      <c r="I39" s="19"/>
      <c r="J39" s="19"/>
      <c r="K39" s="19"/>
      <c r="L39" s="19"/>
      <c r="M39" s="19"/>
      <c r="N39" s="19"/>
      <c r="O39" s="19"/>
    </row>
    <row r="41" spans="1:15" x14ac:dyDescent="0.35">
      <c r="A41">
        <f>1-_xlfn.NORM.DIST(60,65.16,10,1)</f>
        <v>0.6970727953905248</v>
      </c>
    </row>
    <row r="44" spans="1:15" x14ac:dyDescent="0.35">
      <c r="A44" s="19" t="s">
        <v>85</v>
      </c>
      <c r="B44" s="19"/>
      <c r="C44" s="19"/>
      <c r="D44" s="19"/>
      <c r="E44" s="19"/>
      <c r="F44" s="19"/>
      <c r="G44" s="19"/>
      <c r="H44" s="19"/>
      <c r="I44" s="19"/>
      <c r="J44" s="19"/>
      <c r="K44" s="19"/>
      <c r="L44" s="19"/>
      <c r="M44" s="19"/>
      <c r="N44" s="19"/>
      <c r="O44" s="19"/>
    </row>
    <row r="46" spans="1:15" x14ac:dyDescent="0.35">
      <c r="A46">
        <f>_xlfn.NORM.DIST(50,65.16,10,1)-_xlfn.NORM.DIST(40,65.16,10,1)</f>
        <v>5.8824917062359428E-2</v>
      </c>
    </row>
    <row r="48" spans="1:15" x14ac:dyDescent="0.35">
      <c r="A48" t="s">
        <v>86</v>
      </c>
    </row>
    <row r="50" spans="1:1" x14ac:dyDescent="0.35">
      <c r="A50">
        <f>_xlfn.NORM.INV(0.99,65.16,10)</f>
        <v>88.423478740408399</v>
      </c>
    </row>
  </sheetData>
  <mergeCells count="4">
    <mergeCell ref="A28:O28"/>
    <mergeCell ref="A35:O35"/>
    <mergeCell ref="A39:O39"/>
    <mergeCell ref="A44:O44"/>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124D1-EB09-4DDB-B5E7-81E898A4D5E8}">
  <dimension ref="A1:H15"/>
  <sheetViews>
    <sheetView workbookViewId="0">
      <selection activeCell="F4" sqref="F4"/>
    </sheetView>
  </sheetViews>
  <sheetFormatPr defaultRowHeight="14.5" x14ac:dyDescent="0.35"/>
  <cols>
    <col min="2" max="2" width="10.36328125" bestFit="1" customWidth="1"/>
    <col min="3" max="3" width="10.453125" bestFit="1" customWidth="1"/>
    <col min="4" max="4" width="9" customWidth="1"/>
  </cols>
  <sheetData>
    <row r="1" spans="1:8" x14ac:dyDescent="0.35">
      <c r="A1" s="22" t="s">
        <v>32</v>
      </c>
      <c r="B1" s="22"/>
      <c r="C1" s="22"/>
      <c r="D1" s="22"/>
      <c r="E1" s="22"/>
      <c r="F1" s="22"/>
      <c r="G1" s="22"/>
      <c r="H1" s="22"/>
    </row>
    <row r="3" spans="1:8" x14ac:dyDescent="0.35">
      <c r="B3" s="1" t="s">
        <v>22</v>
      </c>
      <c r="C3" s="1" t="s">
        <v>23</v>
      </c>
      <c r="D3" s="1" t="s">
        <v>24</v>
      </c>
      <c r="E3" s="9" t="s">
        <v>25</v>
      </c>
      <c r="F3" s="9" t="s">
        <v>26</v>
      </c>
      <c r="G3" s="1" t="s">
        <v>27</v>
      </c>
      <c r="H3" s="1" t="s">
        <v>29</v>
      </c>
    </row>
    <row r="4" spans="1:8" x14ac:dyDescent="0.35">
      <c r="B4" s="1"/>
      <c r="C4" s="1"/>
      <c r="D4" s="1"/>
      <c r="E4" s="1"/>
      <c r="F4" s="1"/>
      <c r="G4" s="1"/>
      <c r="H4" s="1"/>
    </row>
    <row r="5" spans="1:8" x14ac:dyDescent="0.35">
      <c r="B5" s="1">
        <v>5</v>
      </c>
      <c r="C5" s="1">
        <v>10</v>
      </c>
      <c r="D5" s="1">
        <f>(B5+C5)/2</f>
        <v>7.5</v>
      </c>
      <c r="E5" s="1">
        <v>10</v>
      </c>
      <c r="F5" s="1">
        <f>E5*D5</f>
        <v>75</v>
      </c>
      <c r="G5" s="1">
        <f>(D5-$E$13)^2</f>
        <v>96.694444444444414</v>
      </c>
      <c r="H5" s="1">
        <f>G5*E5</f>
        <v>966.94444444444412</v>
      </c>
    </row>
    <row r="6" spans="1:8" x14ac:dyDescent="0.35">
      <c r="B6" s="1">
        <v>10</v>
      </c>
      <c r="C6" s="1">
        <v>15</v>
      </c>
      <c r="D6" s="1">
        <f t="shared" ref="D6:D9" si="0">(B6+C6)/2</f>
        <v>12.5</v>
      </c>
      <c r="E6" s="1">
        <v>12</v>
      </c>
      <c r="F6" s="1">
        <f t="shared" ref="F6:F9" si="1">E6*D6</f>
        <v>150</v>
      </c>
      <c r="G6" s="1">
        <f t="shared" ref="G6:G9" si="2">(D6-$E$13)^2</f>
        <v>23.3611111111111</v>
      </c>
      <c r="H6" s="1">
        <f t="shared" ref="H6:H9" si="3">G6*E6</f>
        <v>280.3333333333332</v>
      </c>
    </row>
    <row r="7" spans="1:8" x14ac:dyDescent="0.35">
      <c r="B7" s="1">
        <v>15</v>
      </c>
      <c r="C7" s="1">
        <v>20</v>
      </c>
      <c r="D7" s="1">
        <f t="shared" si="0"/>
        <v>17.5</v>
      </c>
      <c r="E7" s="1">
        <v>16</v>
      </c>
      <c r="F7" s="1">
        <f t="shared" si="1"/>
        <v>280</v>
      </c>
      <c r="G7" s="1">
        <f t="shared" si="2"/>
        <v>2.7777777777778172E-2</v>
      </c>
      <c r="H7" s="1">
        <f t="shared" si="3"/>
        <v>0.44444444444445075</v>
      </c>
    </row>
    <row r="8" spans="1:8" x14ac:dyDescent="0.35">
      <c r="B8" s="1">
        <v>20</v>
      </c>
      <c r="C8" s="1">
        <v>25</v>
      </c>
      <c r="D8" s="1">
        <f t="shared" si="0"/>
        <v>22.5</v>
      </c>
      <c r="E8" s="1">
        <v>14</v>
      </c>
      <c r="F8" s="1">
        <f t="shared" si="1"/>
        <v>315</v>
      </c>
      <c r="G8" s="1">
        <f t="shared" si="2"/>
        <v>26.694444444444457</v>
      </c>
      <c r="H8" s="1">
        <f t="shared" si="3"/>
        <v>373.7222222222224</v>
      </c>
    </row>
    <row r="9" spans="1:8" x14ac:dyDescent="0.35">
      <c r="B9" s="1">
        <v>25</v>
      </c>
      <c r="C9" s="1">
        <v>30</v>
      </c>
      <c r="D9" s="1">
        <f t="shared" si="0"/>
        <v>27.5</v>
      </c>
      <c r="E9" s="1">
        <v>8</v>
      </c>
      <c r="F9" s="1">
        <f t="shared" si="1"/>
        <v>220</v>
      </c>
      <c r="G9" s="1">
        <f t="shared" si="2"/>
        <v>103.36111111111113</v>
      </c>
      <c r="H9" s="1">
        <f t="shared" si="3"/>
        <v>826.88888888888903</v>
      </c>
    </row>
    <row r="10" spans="1:8" x14ac:dyDescent="0.35">
      <c r="B10" s="1"/>
      <c r="C10" s="1"/>
      <c r="D10" s="1"/>
      <c r="E10" s="1"/>
      <c r="F10" s="1"/>
      <c r="G10" s="1"/>
      <c r="H10" s="1"/>
    </row>
    <row r="11" spans="1:8" x14ac:dyDescent="0.35">
      <c r="B11" s="1"/>
      <c r="C11" s="1"/>
      <c r="D11" s="1"/>
      <c r="E11" s="1">
        <f>SUM(E5:E9)</f>
        <v>60</v>
      </c>
      <c r="F11" s="1">
        <f>SUM(F5:F9)</f>
        <v>1040</v>
      </c>
      <c r="G11" s="1"/>
      <c r="H11" s="1">
        <f>SUM(H5:H9)</f>
        <v>2448.333333333333</v>
      </c>
    </row>
    <row r="13" spans="1:8" x14ac:dyDescent="0.35">
      <c r="D13" t="s">
        <v>28</v>
      </c>
      <c r="E13">
        <f>F11/E11</f>
        <v>17.333333333333332</v>
      </c>
    </row>
    <row r="14" spans="1:8" ht="29" x14ac:dyDescent="0.35">
      <c r="D14" s="6" t="s">
        <v>30</v>
      </c>
      <c r="E14">
        <f>H11/(E11-1)</f>
        <v>41.497175141242934</v>
      </c>
    </row>
    <row r="15" spans="1:8" ht="29" x14ac:dyDescent="0.35">
      <c r="D15" s="6" t="s">
        <v>31</v>
      </c>
      <c r="E15">
        <f>SQRT(E14)</f>
        <v>6.441830108070449</v>
      </c>
    </row>
  </sheetData>
  <mergeCells count="1">
    <mergeCell ref="A1:H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Binomial Distribution</vt:lpstr>
      <vt:lpstr>Binomial Distribution - Disc Q</vt:lpstr>
      <vt:lpstr>Poisson Distribution</vt:lpstr>
      <vt:lpstr>Normal Distribution</vt:lpstr>
      <vt:lpstr>Group Data</vt:lpstr>
    </vt:vector>
  </TitlesOfParts>
  <Company>Oracle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PANUPIND</dc:creator>
  <cp:lastModifiedBy>PANUPIND</cp:lastModifiedBy>
  <dcterms:created xsi:type="dcterms:W3CDTF">2019-07-07T19:03:01Z</dcterms:created>
  <dcterms:modified xsi:type="dcterms:W3CDTF">2019-07-21T18:03:47Z</dcterms:modified>
</cp:coreProperties>
</file>